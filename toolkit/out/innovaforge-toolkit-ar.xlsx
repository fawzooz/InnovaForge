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بدأ من هنا" sheetId="1" state="visible" r:id="rId1"/>
    <sheet name="٠٫٢ اللوحة" sheetId="2" state="visible" r:id="rId2"/>
    <sheet name="١٫١ اللماذات الخمس" sheetId="3" state="visible" r:id="rId3"/>
    <sheet name="١٫٢ الإلهام" sheetId="4" state="visible" r:id="rId4"/>
    <sheet name="١٫٣ رصيد الأفكار" sheetId="5" state="visible" r:id="rId5"/>
    <sheet name="١٫٤ الأولويات" sheetId="6" state="visible" r:id="rId6"/>
    <sheet name="٢٫١ المفهوم" sheetId="7" state="visible" r:id="rId7"/>
    <sheet name="٢٫٢ سكامبر" sheetId="8" state="visible" r:id="rId8"/>
    <sheet name="٣٫١ الافتراضات" sheetId="9" state="visible" r:id="rId9"/>
    <sheet name="٣٫٢ الاختبارات" sheetId="10" state="visible" r:id="rId10"/>
    <sheet name="٣٫٣ سجل الملاحظات" sheetId="11" state="visible" r:id="rId11"/>
    <sheet name="٣٫٥ ابنِ ثم قِس ثم تعلّم" sheetId="12" state="visible" r:id="rId12"/>
    <sheet name="٤٫١ التحليل الرباعي" sheetId="13" state="visible" r:id="rId13"/>
    <sheet name="٤٫٣ الأهداف والنتائج" sheetId="14" state="visible" r:id="rId14"/>
    <sheet name="٤٫٤ خارطة الطريق" sheetId="15" state="visible" r:id="rId15"/>
    <sheet name="٤٫٥ الموارد والمخاطر" sheetId="16" state="visible" r:id="rId16"/>
    <sheet name="٥٫١ قائمة الإطلاق" sheetId="17" state="visible" r:id="rId17"/>
    <sheet name="٥٫٢ متابعة الأثر" sheetId="18" state="visible" r:id="rId18"/>
    <sheet name="٥٫٣ المراجعة اللاحقة" sheetId="19" state="visible" r:id="rId19"/>
    <sheet name="٥٫٤ القرار" sheetId="20" state="visible" r:id="rId20"/>
    <sheet name="✓ البوابات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Kufi Arabic"/>
      <color rgb="008E8B85"/>
      <sz val="9"/>
    </font>
    <font>
      <name val="Noto Kufi Arabic"/>
      <b val="1"/>
      <color rgb="00111418"/>
      <sz val="16"/>
    </font>
    <font>
      <name val="Noto Kufi Arabic"/>
      <color rgb="00424244"/>
      <sz val="10"/>
    </font>
    <font>
      <name val="Noto Kufi Arabic"/>
      <b val="1"/>
      <color rgb="0023272C"/>
      <sz val="11"/>
    </font>
    <font>
      <name val="Noto Kufi Arabic"/>
      <color rgb="00A86A10"/>
      <sz val="10"/>
    </font>
    <font>
      <name val="Noto Kufi Arabic"/>
      <b val="1"/>
      <color rgb="00A86A10"/>
      <sz val="10"/>
    </font>
    <font>
      <name val="Noto Kufi Arabic"/>
      <color rgb="0023272C"/>
      <sz val="10"/>
    </font>
    <font>
      <name val="Noto Kufi Arabic"/>
      <b val="1"/>
      <color rgb="00FFFFFF"/>
      <sz val="9"/>
    </font>
    <font>
      <name val="Noto Kufi Arabic"/>
      <b val="1"/>
      <color rgb="0023272C"/>
      <sz val="10"/>
    </font>
  </fonts>
  <fills count="6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FAF8F4"/>
      </patternFill>
    </fill>
    <fill>
      <patternFill patternType="solid">
        <fgColor rgb="00FFFFFF"/>
      </patternFill>
    </fill>
    <fill>
      <patternFill patternType="solid">
        <fgColor rgb="00FBF3E3"/>
      </patternFill>
    </fill>
  </fills>
  <borders count="9">
    <border>
      <left/>
      <right/>
      <top/>
      <bottom/>
      <diagonal/>
    </border>
    <border>
      <left style="thin">
        <color rgb="00E3DED4"/>
      </left>
      <right style="thin">
        <color rgb="00E3DED4"/>
      </right>
      <top style="thin">
        <color rgb="00E3DED4"/>
      </top>
      <bottom style="thin">
        <color rgb="00E3DED4"/>
      </bottom>
    </border>
    <border>
      <left style="thin">
        <color rgb="00E3DED4"/>
      </left>
      <right/>
      <top/>
      <bottom/>
      <diagonal/>
    </border>
    <border>
      <left style="thin">
        <color rgb="00E3DED4"/>
      </left>
      <right style="thin">
        <color rgb="00E3DED4"/>
      </right>
      <top/>
      <bottom/>
      <diagonal/>
    </border>
    <border>
      <left style="thin">
        <color rgb="00E3DED4"/>
      </left>
      <right style="thin">
        <color rgb="00E3DED4"/>
      </right>
      <top/>
      <bottom style="thin">
        <color rgb="00E3DED4"/>
      </bottom>
      <diagonal/>
    </border>
    <border>
      <left/>
      <right/>
      <top style="thin">
        <color rgb="00E3DED4"/>
      </top>
      <bottom/>
      <diagonal/>
    </border>
    <border>
      <left/>
      <right style="thin">
        <color rgb="00E3DED4"/>
      </right>
      <top style="thin">
        <color rgb="00E3DED4"/>
      </top>
      <bottom/>
      <diagonal/>
    </border>
    <border>
      <left/>
      <right/>
      <top style="thin">
        <color rgb="00E3DED4"/>
      </top>
      <bottom style="thin">
        <color rgb="00E3DED4"/>
      </bottom>
      <diagonal/>
    </border>
    <border>
      <left/>
      <right style="thin">
        <color rgb="00E3DED4"/>
      </right>
      <top style="thin">
        <color rgb="00E3DED4"/>
      </top>
      <bottom style="thin">
        <color rgb="00E3DED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7" fillId="0" borderId="1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right" vertical="top" wrapText="1"/>
    </xf>
    <xf numFmtId="0" fontId="7" fillId="4" borderId="1" applyAlignment="1" pivotButton="0" quotePrefix="0" xfId="0">
      <alignment horizontal="right" vertical="top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9" fontId="9" fillId="5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ont>
        <b val="1"/>
        <color rgb="00111418"/>
      </font>
      <fill>
        <patternFill patternType="solid">
          <fgColor rgb="00F5A623"/>
        </patternFill>
      </fill>
    </dxf>
    <dxf>
      <font>
        <b val="1"/>
      </font>
      <fill>
        <patternFill patternType="solid">
          <fgColor rgb="00F5A623"/>
        </patternFill>
      </fill>
    </dxf>
    <dxf>
      <fill>
        <patternFill patternType="solid">
          <fgColor rgb="00F3C3B3"/>
        </patternFill>
      </fill>
    </dxf>
    <dxf>
      <fill>
        <patternFill patternType="solid">
          <fgColor rgb="00FBE7BF"/>
        </patternFill>
      </fill>
    </dxf>
    <dxf>
      <fill>
        <patternFill patternType="solid">
          <fgColor rgb="00E9EF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418"/>
    <outlinePr summaryBelow="1" summaryRight="1"/>
    <pageSetUpPr fitToPage="1"/>
  </sheetPr>
  <dimension ref="A1:B22"/>
  <sheetViews>
    <sheetView showGridLines="0" rightToLeft="1" zoomScale="11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حقيبة أدوات إنوفا فورج</t>
        </is>
      </c>
    </row>
    <row r="2" ht="28" customHeight="1">
      <c r="A2" s="2" t="inlineStr">
        <is>
          <t>ابدأ من هنا</t>
        </is>
      </c>
    </row>
    <row r="3" ht="32" customHeight="1">
      <c r="A3" s="3" t="inlineStr">
        <is>
          <t>قوالب وأوراق عمل للمراحل الخمس، من الشرارة إلى التوسّع</t>
        </is>
      </c>
    </row>
    <row r="5">
      <c r="A5" s="4" t="inlineStr">
        <is>
          <t>أ.د. محمد فوزى الجندى</t>
        </is>
      </c>
    </row>
    <row r="6">
      <c r="A6" s="5" t="inlineStr">
        <is>
          <t>www.fawzooz.ai</t>
        </is>
      </c>
    </row>
    <row r="8" ht="20" customHeight="1">
      <c r="A8" s="6" t="inlineStr">
        <is>
          <t>كيف تستخدمه</t>
        </is>
      </c>
    </row>
    <row r="9" ht="30" customHeight="1">
      <c r="A9" s="7" t="inlineStr">
        <is>
          <t>•  املأ الخلايا البيضاء؛ أما الخلايا الكريمية فتُحسب تلقائياً.</t>
        </is>
      </c>
    </row>
    <row r="10" ht="30" customHeight="1">
      <c r="A10" s="7" t="inlineStr">
        <is>
          <t>•  ابدأ باللوحة وبالإشعال معاً عند الانطلاق، وعُد إلى اللوحة عند كل محطة.</t>
        </is>
      </c>
    </row>
    <row r="11" ht="30" customHeight="1">
      <c r="A11" s="7" t="inlineStr">
        <is>
          <t>•  أغلق كل مرحلة في ورقة البوابات قبل الانتقال؛ فإن لم يتحقق معيار، فعُد إلى الوراء.</t>
        </is>
      </c>
    </row>
    <row r="12" ht="30" customHeight="1">
      <c r="A12" s="7" t="inlineStr">
        <is>
          <t>•  تضم النسخة المطبوعة (PDF) كل الأوراق، ومنها ما يُرسم باليد: الخريطة الذهنية، واللوحة القصصية، والرسم.</t>
        </is>
      </c>
    </row>
    <row r="14" ht="20" customHeight="1">
      <c r="A14" s="6" t="inlineStr">
        <is>
          <t>المراحل الخمس</t>
        </is>
      </c>
    </row>
    <row r="15" ht="30" customHeight="1">
      <c r="A15" s="8" t="inlineStr">
        <is>
          <t>المرحلة</t>
        </is>
      </c>
      <c r="B15" s="8" t="inlineStr">
        <is>
          <t>معايير الخروج</t>
        </is>
      </c>
    </row>
    <row r="16" ht="34" customHeight="1">
      <c r="A16" s="9" t="inlineStr">
        <is>
          <t>١ · الإشعال</t>
        </is>
      </c>
      <c r="B16" s="10" t="inlineStr">
        <is>
          <t>من مشكلة إلى ثلاث مشكلات أو فرص مرتّبة بالأولوية، ورصيد من الأفكار الأولية موثّق في اللوحة.</t>
        </is>
      </c>
    </row>
    <row r="17" ht="34" customHeight="1">
      <c r="A17" s="9" t="inlineStr">
        <is>
          <t>٢ · التشكيل</t>
        </is>
      </c>
      <c r="B17" s="10" t="inlineStr">
        <is>
          <t>عرض قيمة واضح ونموذج أولي مبسّط جاهز لتلقّي الملاحظات الأولى.</t>
        </is>
      </c>
    </row>
    <row r="18" ht="34" customHeight="1">
      <c r="A18" s="9" t="inlineStr">
        <is>
          <t>٣ · التطويع</t>
        </is>
      </c>
      <c r="B18" s="10" t="inlineStr">
        <is>
          <t>التحقق من الافتراضات الجوهرية أو دحضها ببيانات مستخدمين حقيقية، وتوثيق الدروس والتحوّلات.</t>
        </is>
      </c>
    </row>
    <row r="19" ht="34" customHeight="1">
      <c r="A19" s="9" t="inlineStr">
        <is>
          <t>٤ · النحت</t>
        </is>
      </c>
      <c r="B19" s="10" t="inlineStr">
        <is>
          <t>خارطة طريق بأهداف ومقاييس نجاح متفق عليها بين الفريق وأصحاب المصلحة.</t>
        </is>
      </c>
    </row>
    <row r="20" ht="34" customHeight="1">
      <c r="A20" s="9" t="inlineStr">
        <is>
          <t>٥ · الصقل</t>
        </is>
      </c>
      <c r="B20" s="10" t="inlineStr">
        <is>
          <t>تحليل بيانات الأداء الأولية واتخاذ قرار: التكرار أو التوسّع أو الإيقاف، ثم تبدأ الدورة من جديد.</t>
        </is>
      </c>
    </row>
    <row r="22" ht="30" customHeight="1">
      <c r="A22" s="11" t="inlineStr">
        <is>
          <t>الترخيص: CC BY-SA 4.0. يحق لك نسخ هذه القوالب وتعديلها ومشاركتها، ولو لأغراض تجارية، مع نسبتها إلى مصدرها وبالرخصة نفسها.</t>
        </is>
      </c>
    </row>
  </sheetData>
  <mergeCells count="12">
    <mergeCell ref="A2:B2"/>
    <mergeCell ref="A11:B11"/>
    <mergeCell ref="A10:B10"/>
    <mergeCell ref="A5:B5"/>
    <mergeCell ref="A14:B14"/>
    <mergeCell ref="A1:B1"/>
    <mergeCell ref="A9:B9"/>
    <mergeCell ref="A8:B8"/>
    <mergeCell ref="A3:B3"/>
    <mergeCell ref="A6:B6"/>
    <mergeCell ref="A22:B22"/>
    <mergeCell ref="A12:B1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D16"/>
  <sheetViews>
    <sheetView showGridLines="0" rightToLeft="1" zoomScale="11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حقيبة أدوات إنوفا فورج · ٠٫٢</t>
        </is>
      </c>
    </row>
    <row r="2" ht="28" customHeight="1">
      <c r="A2" s="2" t="inlineStr">
        <is>
          <t>اللوحة</t>
        </is>
      </c>
    </row>
    <row r="3" ht="32" customHeight="1">
      <c r="A3" s="3" t="inlineStr">
        <is>
          <t>المرجع الموحّد: صف لكل مرحلة، وثلاث خانات لكلٍّ منها.</t>
        </is>
      </c>
    </row>
    <row r="5">
      <c r="A5" s="12" t="inlineStr">
        <is>
          <t>المشروع</t>
        </is>
      </c>
      <c r="B5" s="13" t="n"/>
    </row>
    <row r="7" ht="30" customHeight="1">
      <c r="A7" s="8" t="inlineStr">
        <is>
          <t>١ · الإشعال</t>
        </is>
      </c>
      <c r="B7" s="8" t="inlineStr">
        <is>
          <t>المشكلات والفرص</t>
        </is>
      </c>
      <c r="C7" s="8" t="inlineStr">
        <is>
          <t>مصادر الإلهام</t>
        </is>
      </c>
      <c r="D7" s="8" t="inlineStr">
        <is>
          <t>رصيد الأفكار</t>
        </is>
      </c>
    </row>
    <row r="8" ht="110" customHeight="1">
      <c r="A8" s="14" t="inlineStr">
        <is>
          <t>شرارة البصيرة</t>
        </is>
      </c>
      <c r="B8" s="10" t="n"/>
      <c r="C8" s="10" t="n"/>
      <c r="D8" s="10" t="n"/>
    </row>
    <row r="9" ht="30" customHeight="1">
      <c r="A9" s="8" t="inlineStr">
        <is>
          <t>٢ · التشكيل</t>
        </is>
      </c>
      <c r="B9" s="8" t="inlineStr">
        <is>
          <t>بيان المفهوم</t>
        </is>
      </c>
      <c r="C9" s="8" t="inlineStr">
        <is>
          <t>عرض القيمة</t>
        </is>
      </c>
      <c r="D9" s="8" t="inlineStr">
        <is>
          <t>النموذج المبسّط</t>
        </is>
      </c>
    </row>
    <row r="10" ht="110" customHeight="1">
      <c r="A10" s="14" t="inlineStr">
        <is>
          <t>صياغة المفهوم</t>
        </is>
      </c>
      <c r="B10" s="10" t="n"/>
      <c r="C10" s="10" t="n"/>
      <c r="D10" s="10" t="n"/>
    </row>
    <row r="11" ht="30" customHeight="1">
      <c r="A11" s="8" t="inlineStr">
        <is>
          <t>٣ · التطويع</t>
        </is>
      </c>
      <c r="B11" s="8" t="inlineStr">
        <is>
          <t>أخطر الافتراضات</t>
        </is>
      </c>
      <c r="C11" s="8" t="inlineStr">
        <is>
          <t>ملاحظات المستخدمين</t>
        </is>
      </c>
      <c r="D11" s="8" t="inlineStr">
        <is>
          <t>الدروس والتحوّلات</t>
        </is>
      </c>
    </row>
    <row r="12" ht="110" customHeight="1">
      <c r="A12" s="14" t="inlineStr">
        <is>
          <t>الاختبار والتكرار</t>
        </is>
      </c>
      <c r="B12" s="10" t="n"/>
      <c r="C12" s="10" t="n"/>
      <c r="D12" s="10" t="n"/>
    </row>
    <row r="13" ht="30" customHeight="1">
      <c r="A13" s="8" t="inlineStr">
        <is>
          <t>٤ · النحت</t>
        </is>
      </c>
      <c r="B13" s="8" t="inlineStr">
        <is>
          <t>الأهداف والنتائج</t>
        </is>
      </c>
      <c r="C13" s="8" t="inlineStr">
        <is>
          <t>خارطة الطريق</t>
        </is>
      </c>
      <c r="D13" s="8" t="inlineStr">
        <is>
          <t>الموارد والمخاطر</t>
        </is>
      </c>
    </row>
    <row r="14" ht="110" customHeight="1">
      <c r="A14" s="14" t="inlineStr">
        <is>
          <t>التخطيط للأثر</t>
        </is>
      </c>
      <c r="B14" s="10" t="n"/>
      <c r="C14" s="10" t="n"/>
      <c r="D14" s="10" t="n"/>
    </row>
    <row r="15" ht="30" customHeight="1">
      <c r="A15" s="8" t="inlineStr">
        <is>
          <t>٥ · الصقل</t>
        </is>
      </c>
      <c r="B15" s="8" t="inlineStr">
        <is>
          <t>خطة الإطلاق</t>
        </is>
      </c>
      <c r="C15" s="8" t="inlineStr">
        <is>
          <t>مقاييس الأثر</t>
        </is>
      </c>
      <c r="D15" s="8" t="inlineStr">
        <is>
          <t>الخطوة التالية</t>
        </is>
      </c>
    </row>
    <row r="16" ht="110" customHeight="1">
      <c r="A16" s="14" t="inlineStr">
        <is>
          <t>الإطلاق والتعلّم والتوسّع</t>
        </is>
      </c>
      <c r="B16" s="10" t="n"/>
      <c r="C16" s="10" t="n"/>
      <c r="D16" s="10" t="n"/>
    </row>
  </sheetData>
  <mergeCells count="4">
    <mergeCell ref="A1:D1"/>
    <mergeCell ref="B5:D5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16"/>
  <sheetViews>
    <sheetView showGridLines="0" rightToLeft="1" zoomScale="11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حقيبة أدوات إنوفا فورج · ١٫١</t>
        </is>
      </c>
    </row>
    <row r="2" ht="28" customHeight="1">
      <c r="A2" s="2" t="inlineStr">
        <is>
          <t>اللماذات الخمس</t>
        </is>
      </c>
    </row>
    <row r="3" ht="32" customHeight="1">
      <c r="A3" s="3" t="inlineStr">
        <is>
          <t>ابدأ من حقيقة رأيتها، واسأل «لماذا؟» عن كل جواب.</t>
        </is>
      </c>
    </row>
    <row r="5" ht="20" customHeight="1">
      <c r="A5" s="6" t="inlineStr">
        <is>
          <t>المشكلة التي لاحظناها</t>
        </is>
      </c>
    </row>
    <row r="6" ht="50" customHeight="1">
      <c r="A6" s="15" t="n"/>
      <c r="B6" s="16" t="n"/>
    </row>
    <row r="8" ht="30" customHeight="1">
      <c r="A8" s="8" t="inlineStr">
        <is>
          <t>لماذا؟</t>
        </is>
      </c>
      <c r="B8" s="8" t="inlineStr">
        <is>
          <t>لأن…</t>
        </is>
      </c>
    </row>
    <row r="9" ht="36" customHeight="1">
      <c r="A9" s="14" t="inlineStr">
        <is>
          <t>لماذا؟ ١</t>
        </is>
      </c>
      <c r="B9" s="10" t="n"/>
    </row>
    <row r="10" ht="36" customHeight="1">
      <c r="A10" s="14" t="inlineStr">
        <is>
          <t>لماذا؟ ٢</t>
        </is>
      </c>
      <c r="B10" s="10" t="n"/>
    </row>
    <row r="11" ht="36" customHeight="1">
      <c r="A11" s="14" t="inlineStr">
        <is>
          <t>لماذا؟ ٣</t>
        </is>
      </c>
      <c r="B11" s="10" t="n"/>
    </row>
    <row r="12" ht="36" customHeight="1">
      <c r="A12" s="14" t="inlineStr">
        <is>
          <t>لماذا؟ ٤</t>
        </is>
      </c>
      <c r="B12" s="10" t="n"/>
    </row>
    <row r="13" ht="36" customHeight="1">
      <c r="A13" s="14" t="inlineStr">
        <is>
          <t>لماذا؟ ٥</t>
        </is>
      </c>
      <c r="B13" s="10" t="n"/>
    </row>
    <row r="15" ht="20" customHeight="1">
      <c r="A15" s="6" t="inlineStr">
        <is>
          <t>السبب الجذري، في جملة واحدة</t>
        </is>
      </c>
    </row>
    <row r="16" ht="40" customHeight="1">
      <c r="A16" s="15" t="n"/>
      <c r="B16" s="16" t="n"/>
    </row>
  </sheetData>
  <mergeCells count="7">
    <mergeCell ref="A2:B2"/>
    <mergeCell ref="A16:B16"/>
    <mergeCell ref="A15:B15"/>
    <mergeCell ref="A5:B5"/>
    <mergeCell ref="A1:B1"/>
    <mergeCell ref="A3:B3"/>
    <mergeCell ref="A6:B6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20"/>
  <sheetViews>
    <sheetView showGridLines="0" rightToLeft="1" zoomScale="11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1" t="inlineStr">
        <is>
          <t>حقيبة أدوات إنوفا فورج · ١٫٢</t>
        </is>
      </c>
    </row>
    <row r="2" ht="28" customHeight="1">
      <c r="A2" s="2" t="inlineStr">
        <is>
          <t>الإلهام</t>
        </is>
      </c>
    </row>
    <row r="3" ht="32" customHeight="1">
      <c r="A3" s="3" t="inlineStr">
        <is>
          <t>التقارير والمنافسون والعملاء والمجالات البعيدة: ما رأيت وما يوحي به.</t>
        </is>
      </c>
    </row>
    <row r="5" ht="30" customHeight="1">
      <c r="A5" s="8" t="inlineStr">
        <is>
          <t>المصدر</t>
        </is>
      </c>
      <c r="B5" s="8" t="inlineStr">
        <is>
          <t>ما رأيناه</t>
        </is>
      </c>
      <c r="C5" s="8" t="inlineStr">
        <is>
          <t>ما يوحي به</t>
        </is>
      </c>
    </row>
    <row r="6" ht="40" customHeight="1">
      <c r="A6" s="14" t="inlineStr">
        <is>
          <t>التقارير والأبحاث</t>
        </is>
      </c>
      <c r="B6" s="10" t="n"/>
      <c r="C6" s="10" t="n"/>
    </row>
    <row r="7" ht="40" customHeight="1">
      <c r="A7" s="14" t="inlineStr">
        <is>
          <t>المنافسون</t>
        </is>
      </c>
      <c r="B7" s="10" t="n"/>
      <c r="C7" s="10" t="n"/>
    </row>
    <row r="8" ht="40" customHeight="1">
      <c r="A8" s="14" t="inlineStr">
        <is>
          <t>العملاء</t>
        </is>
      </c>
      <c r="B8" s="10" t="n"/>
      <c r="C8" s="10" t="n"/>
    </row>
    <row r="9" ht="40" customHeight="1">
      <c r="A9" s="14" t="inlineStr">
        <is>
          <t>العملاء</t>
        </is>
      </c>
      <c r="B9" s="10" t="n"/>
      <c r="C9" s="10" t="n"/>
    </row>
    <row r="10" ht="40" customHeight="1">
      <c r="A10" s="14" t="inlineStr">
        <is>
          <t>مجال بعيد</t>
        </is>
      </c>
      <c r="B10" s="10" t="n"/>
      <c r="C10" s="10" t="n"/>
    </row>
    <row r="11" ht="40" customHeight="1">
      <c r="A11" s="14" t="inlineStr">
        <is>
          <t>مجال بعيد</t>
        </is>
      </c>
      <c r="B11" s="10" t="n"/>
      <c r="C11" s="10" t="n"/>
    </row>
    <row r="12" ht="40" customHeight="1">
      <c r="A12" s="10" t="n"/>
      <c r="B12" s="10" t="n"/>
      <c r="C12" s="10" t="n"/>
    </row>
    <row r="13" ht="40" customHeight="1">
      <c r="A13" s="10" t="n"/>
      <c r="B13" s="10" t="n"/>
      <c r="C13" s="10" t="n"/>
    </row>
    <row r="14" ht="40" customHeight="1">
      <c r="A14" s="10" t="n"/>
      <c r="B14" s="10" t="n"/>
      <c r="C14" s="10" t="n"/>
    </row>
    <row r="15" ht="40" customHeight="1">
      <c r="A15" s="10" t="n"/>
      <c r="B15" s="10" t="n"/>
      <c r="C15" s="10" t="n"/>
    </row>
    <row r="16" ht="40" customHeight="1">
      <c r="A16" s="10" t="n"/>
      <c r="B16" s="10" t="n"/>
      <c r="C16" s="10" t="n"/>
    </row>
    <row r="17" ht="40" customHeight="1">
      <c r="A17" s="10" t="n"/>
      <c r="B17" s="10" t="n"/>
      <c r="C17" s="10" t="n"/>
    </row>
    <row r="19" ht="20" customHeight="1">
      <c r="A19" s="6" t="inlineStr">
        <is>
          <t>النمط المشترك بين المصادر</t>
        </is>
      </c>
    </row>
    <row r="20" ht="50" customHeight="1">
      <c r="A20" s="15" t="n"/>
      <c r="B20" s="16" t="n"/>
      <c r="C20" s="16" t="n"/>
    </row>
  </sheetData>
  <mergeCells count="5">
    <mergeCell ref="A19:C19"/>
    <mergeCell ref="A1:C1"/>
    <mergeCell ref="A3:C3"/>
    <mergeCell ref="A20:C20"/>
    <mergeCell ref="A2:C2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D48"/>
  <sheetViews>
    <sheetView showGridLines="0" rightToLeft="1" zoomScale="11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8" customWidth="1" min="3" max="3"/>
    <col width="10" customWidth="1" min="4" max="4"/>
  </cols>
  <sheetData>
    <row r="1">
      <c r="A1" s="1" t="inlineStr">
        <is>
          <t>حقيبة أدوات إنوفا فورج · ١٫٣</t>
        </is>
      </c>
    </row>
    <row r="2" ht="28" customHeight="1">
      <c r="A2" s="2" t="inlineStr">
        <is>
          <t>رصيد الأفكار</t>
        </is>
      </c>
    </row>
    <row r="3" ht="32" customHeight="1">
      <c r="A3" s="3" t="inlineStr">
        <is>
          <t>أرجئ الحكم، وابنِ على أفكار الآخرين، واطلب الكمّ. ولا تصوّت إلا في النهاية.</t>
        </is>
      </c>
    </row>
    <row r="5" ht="20" customHeight="1">
      <c r="A5" s="6" t="inlineStr">
        <is>
          <t>كيف يمكننا…؟</t>
        </is>
      </c>
    </row>
    <row r="6" ht="30" customHeight="1">
      <c r="A6" s="15" t="n"/>
      <c r="B6" s="16" t="n"/>
      <c r="C6" s="16" t="n"/>
      <c r="D6" s="16" t="n"/>
    </row>
    <row r="8" ht="30" customHeight="1">
      <c r="A8" s="8" t="inlineStr">
        <is>
          <t>#</t>
        </is>
      </c>
      <c r="B8" s="8" t="inlineStr">
        <is>
          <t>الفكرة</t>
        </is>
      </c>
      <c r="C8" s="8" t="inlineStr">
        <is>
          <t>المصدر (عصف، استفزاز…)</t>
        </is>
      </c>
      <c r="D8" s="8" t="inlineStr">
        <is>
          <t>الأصوات</t>
        </is>
      </c>
    </row>
    <row r="9" ht="22" customHeight="1">
      <c r="A9" s="17" t="n">
        <v>1</v>
      </c>
      <c r="B9" s="10" t="n"/>
      <c r="C9" s="10" t="n"/>
      <c r="D9" s="10" t="n"/>
    </row>
    <row r="10" ht="22" customHeight="1">
      <c r="A10" s="17" t="n">
        <v>2</v>
      </c>
      <c r="B10" s="10" t="n"/>
      <c r="C10" s="10" t="n"/>
      <c r="D10" s="10" t="n"/>
    </row>
    <row r="11" ht="22" customHeight="1">
      <c r="A11" s="17" t="n">
        <v>3</v>
      </c>
      <c r="B11" s="10" t="n"/>
      <c r="C11" s="10" t="n"/>
      <c r="D11" s="10" t="n"/>
    </row>
    <row r="12" ht="22" customHeight="1">
      <c r="A12" s="17" t="n">
        <v>4</v>
      </c>
      <c r="B12" s="10" t="n"/>
      <c r="C12" s="10" t="n"/>
      <c r="D12" s="10" t="n"/>
    </row>
    <row r="13" ht="22" customHeight="1">
      <c r="A13" s="17" t="n">
        <v>5</v>
      </c>
      <c r="B13" s="10" t="n"/>
      <c r="C13" s="10" t="n"/>
      <c r="D13" s="10" t="n"/>
    </row>
    <row r="14" ht="22" customHeight="1">
      <c r="A14" s="17" t="n">
        <v>6</v>
      </c>
      <c r="B14" s="10" t="n"/>
      <c r="C14" s="10" t="n"/>
      <c r="D14" s="10" t="n"/>
    </row>
    <row r="15" ht="22" customHeight="1">
      <c r="A15" s="17" t="n">
        <v>7</v>
      </c>
      <c r="B15" s="10" t="n"/>
      <c r="C15" s="10" t="n"/>
      <c r="D15" s="10" t="n"/>
    </row>
    <row r="16" ht="22" customHeight="1">
      <c r="A16" s="17" t="n">
        <v>8</v>
      </c>
      <c r="B16" s="10" t="n"/>
      <c r="C16" s="10" t="n"/>
      <c r="D16" s="10" t="n"/>
    </row>
    <row r="17" ht="22" customHeight="1">
      <c r="A17" s="17" t="n">
        <v>9</v>
      </c>
      <c r="B17" s="10" t="n"/>
      <c r="C17" s="10" t="n"/>
      <c r="D17" s="10" t="n"/>
    </row>
    <row r="18" ht="22" customHeight="1">
      <c r="A18" s="17" t="n">
        <v>10</v>
      </c>
      <c r="B18" s="10" t="n"/>
      <c r="C18" s="10" t="n"/>
      <c r="D18" s="10" t="n"/>
    </row>
    <row r="19" ht="22" customHeight="1">
      <c r="A19" s="17" t="n">
        <v>11</v>
      </c>
      <c r="B19" s="10" t="n"/>
      <c r="C19" s="10" t="n"/>
      <c r="D19" s="10" t="n"/>
    </row>
    <row r="20" ht="22" customHeight="1">
      <c r="A20" s="17" t="n">
        <v>12</v>
      </c>
      <c r="B20" s="10" t="n"/>
      <c r="C20" s="10" t="n"/>
      <c r="D20" s="10" t="n"/>
    </row>
    <row r="21" ht="22" customHeight="1">
      <c r="A21" s="17" t="n">
        <v>13</v>
      </c>
      <c r="B21" s="10" t="n"/>
      <c r="C21" s="10" t="n"/>
      <c r="D21" s="10" t="n"/>
    </row>
    <row r="22" ht="22" customHeight="1">
      <c r="A22" s="17" t="n">
        <v>14</v>
      </c>
      <c r="B22" s="10" t="n"/>
      <c r="C22" s="10" t="n"/>
      <c r="D22" s="10" t="n"/>
    </row>
    <row r="23" ht="22" customHeight="1">
      <c r="A23" s="17" t="n">
        <v>15</v>
      </c>
      <c r="B23" s="10" t="n"/>
      <c r="C23" s="10" t="n"/>
      <c r="D23" s="10" t="n"/>
    </row>
    <row r="24" ht="22" customHeight="1">
      <c r="A24" s="17" t="n">
        <v>16</v>
      </c>
      <c r="B24" s="10" t="n"/>
      <c r="C24" s="10" t="n"/>
      <c r="D24" s="10" t="n"/>
    </row>
    <row r="25" ht="22" customHeight="1">
      <c r="A25" s="17" t="n">
        <v>17</v>
      </c>
      <c r="B25" s="10" t="n"/>
      <c r="C25" s="10" t="n"/>
      <c r="D25" s="10" t="n"/>
    </row>
    <row r="26" ht="22" customHeight="1">
      <c r="A26" s="17" t="n">
        <v>18</v>
      </c>
      <c r="B26" s="10" t="n"/>
      <c r="C26" s="10" t="n"/>
      <c r="D26" s="10" t="n"/>
    </row>
    <row r="27" ht="22" customHeight="1">
      <c r="A27" s="17" t="n">
        <v>19</v>
      </c>
      <c r="B27" s="10" t="n"/>
      <c r="C27" s="10" t="n"/>
      <c r="D27" s="10" t="n"/>
    </row>
    <row r="28" ht="22" customHeight="1">
      <c r="A28" s="17" t="n">
        <v>20</v>
      </c>
      <c r="B28" s="10" t="n"/>
      <c r="C28" s="10" t="n"/>
      <c r="D28" s="10" t="n"/>
    </row>
    <row r="29" ht="22" customHeight="1">
      <c r="A29" s="17" t="n">
        <v>21</v>
      </c>
      <c r="B29" s="10" t="n"/>
      <c r="C29" s="10" t="n"/>
      <c r="D29" s="10" t="n"/>
    </row>
    <row r="30" ht="22" customHeight="1">
      <c r="A30" s="17" t="n">
        <v>22</v>
      </c>
      <c r="B30" s="10" t="n"/>
      <c r="C30" s="10" t="n"/>
      <c r="D30" s="10" t="n"/>
    </row>
    <row r="31" ht="22" customHeight="1">
      <c r="A31" s="17" t="n">
        <v>23</v>
      </c>
      <c r="B31" s="10" t="n"/>
      <c r="C31" s="10" t="n"/>
      <c r="D31" s="10" t="n"/>
    </row>
    <row r="32" ht="22" customHeight="1">
      <c r="A32" s="17" t="n">
        <v>24</v>
      </c>
      <c r="B32" s="10" t="n"/>
      <c r="C32" s="10" t="n"/>
      <c r="D32" s="10" t="n"/>
    </row>
    <row r="33" ht="22" customHeight="1">
      <c r="A33" s="17" t="n">
        <v>25</v>
      </c>
      <c r="B33" s="10" t="n"/>
      <c r="C33" s="10" t="n"/>
      <c r="D33" s="10" t="n"/>
    </row>
    <row r="34" ht="22" customHeight="1">
      <c r="A34" s="17" t="n">
        <v>26</v>
      </c>
      <c r="B34" s="10" t="n"/>
      <c r="C34" s="10" t="n"/>
      <c r="D34" s="10" t="n"/>
    </row>
    <row r="35" ht="22" customHeight="1">
      <c r="A35" s="17" t="n">
        <v>27</v>
      </c>
      <c r="B35" s="10" t="n"/>
      <c r="C35" s="10" t="n"/>
      <c r="D35" s="10" t="n"/>
    </row>
    <row r="36" ht="22" customHeight="1">
      <c r="A36" s="17" t="n">
        <v>28</v>
      </c>
      <c r="B36" s="10" t="n"/>
      <c r="C36" s="10" t="n"/>
      <c r="D36" s="10" t="n"/>
    </row>
    <row r="37" ht="22" customHeight="1">
      <c r="A37" s="17" t="n">
        <v>29</v>
      </c>
      <c r="B37" s="10" t="n"/>
      <c r="C37" s="10" t="n"/>
      <c r="D37" s="10" t="n"/>
    </row>
    <row r="38" ht="22" customHeight="1">
      <c r="A38" s="17" t="n">
        <v>30</v>
      </c>
      <c r="B38" s="10" t="n"/>
      <c r="C38" s="10" t="n"/>
      <c r="D38" s="10" t="n"/>
    </row>
    <row r="39" ht="22" customHeight="1">
      <c r="A39" s="17" t="n">
        <v>31</v>
      </c>
      <c r="B39" s="10" t="n"/>
      <c r="C39" s="10" t="n"/>
      <c r="D39" s="10" t="n"/>
    </row>
    <row r="40" ht="22" customHeight="1">
      <c r="A40" s="17" t="n">
        <v>32</v>
      </c>
      <c r="B40" s="10" t="n"/>
      <c r="C40" s="10" t="n"/>
      <c r="D40" s="10" t="n"/>
    </row>
    <row r="41" ht="22" customHeight="1">
      <c r="A41" s="17" t="n">
        <v>33</v>
      </c>
      <c r="B41" s="10" t="n"/>
      <c r="C41" s="10" t="n"/>
      <c r="D41" s="10" t="n"/>
    </row>
    <row r="42" ht="22" customHeight="1">
      <c r="A42" s="17" t="n">
        <v>34</v>
      </c>
      <c r="B42" s="10" t="n"/>
      <c r="C42" s="10" t="n"/>
      <c r="D42" s="10" t="n"/>
    </row>
    <row r="43" ht="22" customHeight="1">
      <c r="A43" s="17" t="n">
        <v>35</v>
      </c>
      <c r="B43" s="10" t="n"/>
      <c r="C43" s="10" t="n"/>
      <c r="D43" s="10" t="n"/>
    </row>
    <row r="44" ht="22" customHeight="1">
      <c r="A44" s="17" t="n">
        <v>36</v>
      </c>
      <c r="B44" s="10" t="n"/>
      <c r="C44" s="10" t="n"/>
      <c r="D44" s="10" t="n"/>
    </row>
    <row r="45" ht="22" customHeight="1">
      <c r="A45" s="17" t="n">
        <v>37</v>
      </c>
      <c r="B45" s="10" t="n"/>
      <c r="C45" s="10" t="n"/>
      <c r="D45" s="10" t="n"/>
    </row>
    <row r="46" ht="22" customHeight="1">
      <c r="A46" s="17" t="n">
        <v>38</v>
      </c>
      <c r="B46" s="10" t="n"/>
      <c r="C46" s="10" t="n"/>
      <c r="D46" s="10" t="n"/>
    </row>
    <row r="47" ht="22" customHeight="1">
      <c r="A47" s="17" t="n">
        <v>39</v>
      </c>
      <c r="B47" s="10" t="n"/>
      <c r="C47" s="10" t="n"/>
      <c r="D47" s="10" t="n"/>
    </row>
    <row r="48" ht="22" customHeight="1">
      <c r="A48" s="17" t="n">
        <v>40</v>
      </c>
      <c r="B48" s="10" t="n"/>
      <c r="C48" s="10" t="n"/>
      <c r="D48" s="10" t="n"/>
    </row>
  </sheetData>
  <mergeCells count="5">
    <mergeCell ref="A1:D1"/>
    <mergeCell ref="A5:D5"/>
    <mergeCell ref="A6:D6"/>
    <mergeCell ref="A3:D3"/>
    <mergeCell ref="A2:D2"/>
  </mergeCells>
  <dataValidations count="1">
    <dataValidation sqref="C9:C48" showDropDown="0" showInputMessage="0" showErrorMessage="0" allowBlank="1" type="list">
      <formula1>"العصف الذهني,الاستفزاز الذهني,الإلهام,اللماذات الخمس"</formula1>
    </dataValidation>
  </dataValidation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15"/>
  <sheetViews>
    <sheetView showGridLines="0" rightToLeft="1" zoomScale="11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حقيبة أدوات إنوفا فورج · ١٫٤</t>
        </is>
      </c>
    </row>
    <row r="2" ht="28" customHeight="1">
      <c r="A2" s="2" t="inlineStr">
        <is>
          <t>الأولويات</t>
        </is>
      </c>
    </row>
    <row r="3" ht="32" customHeight="1">
      <c r="A3" s="3" t="inlineStr">
        <is>
          <t>قيّم من ١ (منخفض) إلى ٥ (مرتفع). يُحسب المجموع والترتيب تلقائياً؛ واحتفظ بالأعلى من واحد إلى ثلاثة.</t>
        </is>
      </c>
    </row>
    <row r="5" ht="30" customHeight="1">
      <c r="A5" s="8" t="inlineStr">
        <is>
          <t>المشكلة أو الفرصة</t>
        </is>
      </c>
      <c r="B5" s="8" t="inlineStr">
        <is>
          <t>الأثر</t>
        </is>
      </c>
      <c r="C5" s="8" t="inlineStr">
        <is>
          <t>الإلحاح</t>
        </is>
      </c>
      <c r="D5" s="8" t="inlineStr">
        <is>
          <t>الدليل</t>
        </is>
      </c>
      <c r="E5" s="8" t="inlineStr">
        <is>
          <t>المواءمة</t>
        </is>
      </c>
      <c r="F5" s="8" t="inlineStr">
        <is>
          <t>المجموع</t>
        </is>
      </c>
      <c r="G5" s="8" t="inlineStr">
        <is>
          <t>الترتيب</t>
        </is>
      </c>
    </row>
    <row r="6" ht="28" customHeight="1">
      <c r="A6" s="10" t="n"/>
      <c r="B6" s="10" t="n"/>
      <c r="C6" s="10" t="n"/>
      <c r="D6" s="10" t="n"/>
      <c r="E6" s="10" t="n"/>
      <c r="F6" s="18">
        <f>IF(COUNT(B6:E6)=0,"",SUM(B6:E6))</f>
        <v/>
      </c>
      <c r="G6" s="18">
        <f>IF(F6="","",COUNTIF($F$6:$F$15,"&gt;"&amp;F6)+1)</f>
        <v/>
      </c>
    </row>
    <row r="7" ht="28" customHeight="1">
      <c r="A7" s="10" t="n"/>
      <c r="B7" s="10" t="n"/>
      <c r="C7" s="10" t="n"/>
      <c r="D7" s="10" t="n"/>
      <c r="E7" s="10" t="n"/>
      <c r="F7" s="18">
        <f>IF(COUNT(B7:E7)=0,"",SUM(B7:E7))</f>
        <v/>
      </c>
      <c r="G7" s="18">
        <f>IF(F7="","",COUNTIF($F$6:$F$15,"&gt;"&amp;F7)+1)</f>
        <v/>
      </c>
    </row>
    <row r="8" ht="28" customHeight="1">
      <c r="A8" s="10" t="n"/>
      <c r="B8" s="10" t="n"/>
      <c r="C8" s="10" t="n"/>
      <c r="D8" s="10" t="n"/>
      <c r="E8" s="10" t="n"/>
      <c r="F8" s="18">
        <f>IF(COUNT(B8:E8)=0,"",SUM(B8:E8))</f>
        <v/>
      </c>
      <c r="G8" s="18">
        <f>IF(F8="","",COUNTIF($F$6:$F$15,"&gt;"&amp;F8)+1)</f>
        <v/>
      </c>
    </row>
    <row r="9" ht="28" customHeight="1">
      <c r="A9" s="10" t="n"/>
      <c r="B9" s="10" t="n"/>
      <c r="C9" s="10" t="n"/>
      <c r="D9" s="10" t="n"/>
      <c r="E9" s="10" t="n"/>
      <c r="F9" s="18">
        <f>IF(COUNT(B9:E9)=0,"",SUM(B9:E9))</f>
        <v/>
      </c>
      <c r="G9" s="18">
        <f>IF(F9="","",COUNTIF($F$6:$F$15,"&gt;"&amp;F9)+1)</f>
        <v/>
      </c>
    </row>
    <row r="10" ht="28" customHeight="1">
      <c r="A10" s="10" t="n"/>
      <c r="B10" s="10" t="n"/>
      <c r="C10" s="10" t="n"/>
      <c r="D10" s="10" t="n"/>
      <c r="E10" s="10" t="n"/>
      <c r="F10" s="18">
        <f>IF(COUNT(B10:E10)=0,"",SUM(B10:E10))</f>
        <v/>
      </c>
      <c r="G10" s="18">
        <f>IF(F10="","",COUNTIF($F$6:$F$15,"&gt;"&amp;F10)+1)</f>
        <v/>
      </c>
    </row>
    <row r="11" ht="28" customHeight="1">
      <c r="A11" s="10" t="n"/>
      <c r="B11" s="10" t="n"/>
      <c r="C11" s="10" t="n"/>
      <c r="D11" s="10" t="n"/>
      <c r="E11" s="10" t="n"/>
      <c r="F11" s="18">
        <f>IF(COUNT(B11:E11)=0,"",SUM(B11:E11))</f>
        <v/>
      </c>
      <c r="G11" s="18">
        <f>IF(F11="","",COUNTIF($F$6:$F$15,"&gt;"&amp;F11)+1)</f>
        <v/>
      </c>
    </row>
    <row r="12" ht="28" customHeight="1">
      <c r="A12" s="10" t="n"/>
      <c r="B12" s="10" t="n"/>
      <c r="C12" s="10" t="n"/>
      <c r="D12" s="10" t="n"/>
      <c r="E12" s="10" t="n"/>
      <c r="F12" s="18">
        <f>IF(COUNT(B12:E12)=0,"",SUM(B12:E12))</f>
        <v/>
      </c>
      <c r="G12" s="18">
        <f>IF(F12="","",COUNTIF($F$6:$F$15,"&gt;"&amp;F12)+1)</f>
        <v/>
      </c>
    </row>
    <row r="13" ht="28" customHeight="1">
      <c r="A13" s="10" t="n"/>
      <c r="B13" s="10" t="n"/>
      <c r="C13" s="10" t="n"/>
      <c r="D13" s="10" t="n"/>
      <c r="E13" s="10" t="n"/>
      <c r="F13" s="18">
        <f>IF(COUNT(B13:E13)=0,"",SUM(B13:E13))</f>
        <v/>
      </c>
      <c r="G13" s="18">
        <f>IF(F13="","",COUNTIF($F$6:$F$15,"&gt;"&amp;F13)+1)</f>
        <v/>
      </c>
    </row>
    <row r="14" ht="28" customHeight="1">
      <c r="A14" s="10" t="n"/>
      <c r="B14" s="10" t="n"/>
      <c r="C14" s="10" t="n"/>
      <c r="D14" s="10" t="n"/>
      <c r="E14" s="10" t="n"/>
      <c r="F14" s="18">
        <f>IF(COUNT(B14:E14)=0,"",SUM(B14:E14))</f>
        <v/>
      </c>
      <c r="G14" s="18">
        <f>IF(F14="","",COUNTIF($F$6:$F$15,"&gt;"&amp;F14)+1)</f>
        <v/>
      </c>
    </row>
    <row r="15" ht="28" customHeight="1">
      <c r="A15" s="10" t="n"/>
      <c r="B15" s="10" t="n"/>
      <c r="C15" s="10" t="n"/>
      <c r="D15" s="10" t="n"/>
      <c r="E15" s="10" t="n"/>
      <c r="F15" s="18">
        <f>IF(COUNT(B15:E15)=0,"",SUM(B15:E15))</f>
        <v/>
      </c>
      <c r="G15" s="18">
        <f>IF(F15="","",COUNTIF($F$6:$F$15,"&gt;"&amp;F15)+1)</f>
        <v/>
      </c>
    </row>
  </sheetData>
  <mergeCells count="3">
    <mergeCell ref="A3:G3"/>
    <mergeCell ref="A2:G2"/>
    <mergeCell ref="A1:G1"/>
  </mergeCells>
  <conditionalFormatting sqref="G6:G15">
    <cfRule type="cellIs" priority="1" operator="lessThanOrEqual" dxfId="0">
      <formula>3</formula>
    </cfRule>
  </conditionalFormatting>
  <dataValidations count="1">
    <dataValidation sqref="B6:E15" showDropDown="0" showInputMessage="0" showErrorMessage="0" allowBlank="1" error="أدخل عدداً صحيحاً من 1 إلى 5." type="whole" operator="between">
      <formula1>1</formula1>
      <formula2>5</formula2>
    </dataValidation>
  </dataValidation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30"/>
  <sheetViews>
    <sheetView showGridLines="0" rightToLeft="1" zoomScale="110"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حقيبة أدوات إنوفا فورج · ٢٫١</t>
        </is>
      </c>
    </row>
    <row r="2" ht="28" customHeight="1">
      <c r="A2" s="2" t="inlineStr">
        <is>
          <t>المفهوم</t>
        </is>
      </c>
    </row>
    <row r="3" ht="32" customHeight="1">
      <c r="A3" s="3" t="inlineStr">
        <is>
          <t>الغاية والجمهور والخصائص، ثم القيمة في جملة واحدة، ولوحة رشيقة في ثلاثين دقيقة.</t>
        </is>
      </c>
    </row>
    <row r="5" ht="20" customHeight="1">
      <c r="A5" s="6" t="inlineStr">
        <is>
          <t>الغاية: لأيّ شيء هو</t>
        </is>
      </c>
    </row>
    <row r="6" ht="40" customHeight="1">
      <c r="A6" s="15" t="n"/>
      <c r="B6" s="16" t="n"/>
    </row>
    <row r="8" ht="20" customHeight="1">
      <c r="A8" s="6" t="inlineStr">
        <is>
          <t>الجمهور: لمن هو</t>
        </is>
      </c>
    </row>
    <row r="9" ht="40" customHeight="1">
      <c r="A9" s="15" t="n"/>
      <c r="B9" s="16" t="n"/>
    </row>
    <row r="11" ht="20" customHeight="1">
      <c r="A11" s="6" t="inlineStr">
        <is>
          <t>الخصائص: ما الذي يفعله</t>
        </is>
      </c>
    </row>
    <row r="12" ht="60" customHeight="1">
      <c r="A12" s="15" t="n"/>
      <c r="B12" s="16" t="n"/>
    </row>
    <row r="14" ht="20" customHeight="1">
      <c r="A14" s="6" t="inlineStr">
        <is>
          <t>بيان المفهوم: لـ… الذين…، فإن… هو… الذي… . وبخلاف…، فإنه… .</t>
        </is>
      </c>
    </row>
    <row r="15" ht="60" customHeight="1">
      <c r="A15" s="15" t="n"/>
      <c r="B15" s="16" t="n"/>
    </row>
    <row r="17" ht="20" customHeight="1">
      <c r="A17" s="6" t="inlineStr">
        <is>
          <t>عرض القيمة، في جملة واحدة</t>
        </is>
      </c>
    </row>
    <row r="18" ht="36" customHeight="1">
      <c r="A18" s="15" t="n"/>
      <c r="B18" s="16" t="n"/>
    </row>
    <row r="20" ht="20" customHeight="1">
      <c r="A20" s="6" t="inlineStr">
        <is>
          <t>اللوحة الرشيقة (عن موريا، ٢٠١٢)</t>
        </is>
      </c>
    </row>
    <row r="21" ht="30" customHeight="1">
      <c r="A21" s="8" t="inlineStr">
        <is>
          <t>الخانة</t>
        </is>
      </c>
      <c r="B21" s="8" t="inlineStr">
        <is>
          <t>جوابنا</t>
        </is>
      </c>
    </row>
    <row r="22" ht="44" customHeight="1">
      <c r="A22" s="14" t="inlineStr">
        <is>
          <t>١ شرائح العملاء</t>
        </is>
      </c>
      <c r="B22" s="10" t="n"/>
    </row>
    <row r="23" ht="44" customHeight="1">
      <c r="A23" s="14" t="inlineStr">
        <is>
          <t>٢ المشكلة</t>
        </is>
      </c>
      <c r="B23" s="10" t="n"/>
    </row>
    <row r="24" ht="44" customHeight="1">
      <c r="A24" s="14" t="inlineStr">
        <is>
          <t>٣ عرض القيمة الفريد</t>
        </is>
      </c>
      <c r="B24" s="10" t="n"/>
    </row>
    <row r="25" ht="44" customHeight="1">
      <c r="A25" s="14" t="inlineStr">
        <is>
          <t>٤ الحل</t>
        </is>
      </c>
      <c r="B25" s="10" t="n"/>
    </row>
    <row r="26" ht="44" customHeight="1">
      <c r="A26" s="14" t="inlineStr">
        <is>
          <t>٥ القنوات</t>
        </is>
      </c>
      <c r="B26" s="10" t="n"/>
    </row>
    <row r="27" ht="44" customHeight="1">
      <c r="A27" s="14" t="inlineStr">
        <is>
          <t>٦ مصادر الإيراد</t>
        </is>
      </c>
      <c r="B27" s="10" t="n"/>
    </row>
    <row r="28" ht="44" customHeight="1">
      <c r="A28" s="14" t="inlineStr">
        <is>
          <t>٧ هيكل التكاليف</t>
        </is>
      </c>
      <c r="B28" s="10" t="n"/>
    </row>
    <row r="29" ht="44" customHeight="1">
      <c r="A29" s="14" t="inlineStr">
        <is>
          <t>٨ المقاييس الرئيسية</t>
        </is>
      </c>
      <c r="B29" s="10" t="n"/>
    </row>
    <row r="30" ht="44" customHeight="1">
      <c r="A30" s="14" t="inlineStr">
        <is>
          <t>٩ الميزة التي لا تُنسخ</t>
        </is>
      </c>
      <c r="B30" s="10" t="n"/>
    </row>
  </sheetData>
  <mergeCells count="14">
    <mergeCell ref="A20:B20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15"/>
  <sheetViews>
    <sheetView showGridLines="0" rightToLeft="1" zoomScale="11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8" customWidth="1" min="3" max="3"/>
  </cols>
  <sheetData>
    <row r="1">
      <c r="A1" s="1" t="inlineStr">
        <is>
          <t>حقيبة أدوات إنوفا فورج · ٢٫٢</t>
        </is>
      </c>
    </row>
    <row r="2" ht="28" customHeight="1">
      <c r="A2" s="2" t="inlineStr">
        <is>
          <t>سكامبر</t>
        </is>
      </c>
    </row>
    <row r="3" ht="32" customHeight="1">
      <c r="A3" s="3" t="inlineStr">
        <is>
          <t>جواب واحد على الأقل لكل محفّز، وضع نجمة على الاثنين أو الثلاثة الأكثر تغييراً للقيمة.</t>
        </is>
      </c>
    </row>
    <row r="5" ht="20" customHeight="1">
      <c r="A5" s="6" t="inlineStr">
        <is>
          <t>الفكرة التي نعمل عليها</t>
        </is>
      </c>
    </row>
    <row r="6" ht="30" customHeight="1">
      <c r="A6" s="15" t="n"/>
      <c r="B6" s="16" t="n"/>
      <c r="C6" s="16" t="n"/>
    </row>
    <row r="8" ht="30" customHeight="1">
      <c r="A8" s="8" t="inlineStr">
        <is>
          <t>المحفّز</t>
        </is>
      </c>
      <c r="B8" s="8" t="inlineStr">
        <is>
          <t>أجوبتنا</t>
        </is>
      </c>
      <c r="C8" s="8" t="inlineStr">
        <is>
          <t>★</t>
        </is>
      </c>
    </row>
    <row r="9" ht="44" customHeight="1">
      <c r="A9" s="14" t="inlineStr">
        <is>
          <t>S · استبدل</t>
        </is>
      </c>
      <c r="B9" s="10" t="n"/>
      <c r="C9" s="10" t="n"/>
    </row>
    <row r="10" ht="44" customHeight="1">
      <c r="A10" s="14" t="inlineStr">
        <is>
          <t>C · ادمج</t>
        </is>
      </c>
      <c r="B10" s="10" t="n"/>
      <c r="C10" s="10" t="n"/>
    </row>
    <row r="11" ht="44" customHeight="1">
      <c r="A11" s="14" t="inlineStr">
        <is>
          <t>A · كيّف</t>
        </is>
      </c>
      <c r="B11" s="10" t="n"/>
      <c r="C11" s="10" t="n"/>
    </row>
    <row r="12" ht="44" customHeight="1">
      <c r="A12" s="14" t="inlineStr">
        <is>
          <t>M · عدّل</t>
        </is>
      </c>
      <c r="B12" s="10" t="n"/>
      <c r="C12" s="10" t="n"/>
    </row>
    <row r="13" ht="44" customHeight="1">
      <c r="A13" s="14" t="inlineStr">
        <is>
          <t>P · استخدم لغرض آخر</t>
        </is>
      </c>
      <c r="B13" s="10" t="n"/>
      <c r="C13" s="10" t="n"/>
    </row>
    <row r="14" ht="44" customHeight="1">
      <c r="A14" s="14" t="inlineStr">
        <is>
          <t>E · احذف</t>
        </is>
      </c>
      <c r="B14" s="10" t="n"/>
      <c r="C14" s="10" t="n"/>
    </row>
    <row r="15" ht="44" customHeight="1">
      <c r="A15" s="14" t="inlineStr">
        <is>
          <t>R · اعكس</t>
        </is>
      </c>
      <c r="B15" s="10" t="n"/>
      <c r="C15" s="10" t="n"/>
    </row>
  </sheetData>
  <mergeCells count="5">
    <mergeCell ref="A1:C1"/>
    <mergeCell ref="A5:C5"/>
    <mergeCell ref="A6:C6"/>
    <mergeCell ref="A3:C3"/>
    <mergeCell ref="A2:C2"/>
  </mergeCells>
  <dataValidations count="1">
    <dataValidation sqref="C9:C15" showDropDown="0" showInputMessage="0" showErrorMessage="0" allowBlank="1" type="list">
      <formula1>"★"</formula1>
    </dataValidation>
  </dataValidation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20"/>
  <sheetViews>
    <sheetView showGridLines="0" rightToLeft="1" zoomScale="110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حقيبة أدوات إنوفا فورج · ٣٫١</t>
        </is>
      </c>
    </row>
    <row r="2" ht="28" customHeight="1">
      <c r="A2" s="2" t="inlineStr">
        <is>
          <t>الافتراضات</t>
        </is>
      </c>
    </row>
    <row r="3" ht="32" customHeight="1">
      <c r="A3" s="3" t="inlineStr">
        <is>
          <t>الأهمية والدليل من ١ إلى ٥. الافتراضات المهمّة ذات الدليل الضعيف تأتي أولاً.</t>
        </is>
      </c>
    </row>
    <row r="5" ht="30" customHeight="1">
      <c r="A5" s="8" t="inlineStr">
        <is>
          <t>#</t>
        </is>
      </c>
      <c r="B5" s="8" t="inlineStr">
        <is>
          <t>نعتقد أن…</t>
        </is>
      </c>
      <c r="C5" s="8" t="inlineStr">
        <is>
          <t>النوع</t>
        </is>
      </c>
      <c r="D5" s="8" t="inlineStr">
        <is>
          <t>الأهمية ١–٥</t>
        </is>
      </c>
      <c r="E5" s="8" t="inlineStr">
        <is>
          <t>الدليل ١–٥</t>
        </is>
      </c>
      <c r="F5" s="8" t="inlineStr">
        <is>
          <t>درجة الخطر</t>
        </is>
      </c>
      <c r="G5" s="8" t="inlineStr">
        <is>
          <t>الربع</t>
        </is>
      </c>
    </row>
    <row r="6" ht="30" customHeight="1">
      <c r="A6" s="17" t="n">
        <v>1</v>
      </c>
      <c r="B6" s="10" t="n"/>
      <c r="C6" s="10" t="n"/>
      <c r="D6" s="10" t="n"/>
      <c r="E6" s="10" t="n"/>
      <c r="F6" s="18">
        <f>IF(OR(D6="",E6=""),"",D6*(6-E6))</f>
        <v/>
      </c>
      <c r="G6" s="18">
        <f>IF(F6="","",IF(D6&gt;=3,IF(E6&lt;=3,"اختبر أولاً","راقب"),IF(E6&lt;=3,"لاحقاً","تجاهل الآن")))</f>
        <v/>
      </c>
    </row>
    <row r="7" ht="30" customHeight="1">
      <c r="A7" s="17" t="n">
        <v>2</v>
      </c>
      <c r="B7" s="10" t="n"/>
      <c r="C7" s="10" t="n"/>
      <c r="D7" s="10" t="n"/>
      <c r="E7" s="10" t="n"/>
      <c r="F7" s="18">
        <f>IF(OR(D7="",E7=""),"",D7*(6-E7))</f>
        <v/>
      </c>
      <c r="G7" s="18">
        <f>IF(F7="","",IF(D7&gt;=3,IF(E7&lt;=3,"اختبر أولاً","راقب"),IF(E7&lt;=3,"لاحقاً","تجاهل الآن")))</f>
        <v/>
      </c>
    </row>
    <row r="8" ht="30" customHeight="1">
      <c r="A8" s="17" t="n">
        <v>3</v>
      </c>
      <c r="B8" s="10" t="n"/>
      <c r="C8" s="10" t="n"/>
      <c r="D8" s="10" t="n"/>
      <c r="E8" s="10" t="n"/>
      <c r="F8" s="18">
        <f>IF(OR(D8="",E8=""),"",D8*(6-E8))</f>
        <v/>
      </c>
      <c r="G8" s="18">
        <f>IF(F8="","",IF(D8&gt;=3,IF(E8&lt;=3,"اختبر أولاً","راقب"),IF(E8&lt;=3,"لاحقاً","تجاهل الآن")))</f>
        <v/>
      </c>
    </row>
    <row r="9" ht="30" customHeight="1">
      <c r="A9" s="17" t="n">
        <v>4</v>
      </c>
      <c r="B9" s="10" t="n"/>
      <c r="C9" s="10" t="n"/>
      <c r="D9" s="10" t="n"/>
      <c r="E9" s="10" t="n"/>
      <c r="F9" s="18">
        <f>IF(OR(D9="",E9=""),"",D9*(6-E9))</f>
        <v/>
      </c>
      <c r="G9" s="18">
        <f>IF(F9="","",IF(D9&gt;=3,IF(E9&lt;=3,"اختبر أولاً","راقب"),IF(E9&lt;=3,"لاحقاً","تجاهل الآن")))</f>
        <v/>
      </c>
    </row>
    <row r="10" ht="30" customHeight="1">
      <c r="A10" s="17" t="n">
        <v>5</v>
      </c>
      <c r="B10" s="10" t="n"/>
      <c r="C10" s="10" t="n"/>
      <c r="D10" s="10" t="n"/>
      <c r="E10" s="10" t="n"/>
      <c r="F10" s="18">
        <f>IF(OR(D10="",E10=""),"",D10*(6-E10))</f>
        <v/>
      </c>
      <c r="G10" s="18">
        <f>IF(F10="","",IF(D10&gt;=3,IF(E10&lt;=3,"اختبر أولاً","راقب"),IF(E10&lt;=3,"لاحقاً","تجاهل الآن")))</f>
        <v/>
      </c>
    </row>
    <row r="11" ht="30" customHeight="1">
      <c r="A11" s="17" t="n">
        <v>6</v>
      </c>
      <c r="B11" s="10" t="n"/>
      <c r="C11" s="10" t="n"/>
      <c r="D11" s="10" t="n"/>
      <c r="E11" s="10" t="n"/>
      <c r="F11" s="18">
        <f>IF(OR(D11="",E11=""),"",D11*(6-E11))</f>
        <v/>
      </c>
      <c r="G11" s="18">
        <f>IF(F11="","",IF(D11&gt;=3,IF(E11&lt;=3,"اختبر أولاً","راقب"),IF(E11&lt;=3,"لاحقاً","تجاهل الآن")))</f>
        <v/>
      </c>
    </row>
    <row r="12" ht="30" customHeight="1">
      <c r="A12" s="17" t="n">
        <v>7</v>
      </c>
      <c r="B12" s="10" t="n"/>
      <c r="C12" s="10" t="n"/>
      <c r="D12" s="10" t="n"/>
      <c r="E12" s="10" t="n"/>
      <c r="F12" s="18">
        <f>IF(OR(D12="",E12=""),"",D12*(6-E12))</f>
        <v/>
      </c>
      <c r="G12" s="18">
        <f>IF(F12="","",IF(D12&gt;=3,IF(E12&lt;=3,"اختبر أولاً","راقب"),IF(E12&lt;=3,"لاحقاً","تجاهل الآن")))</f>
        <v/>
      </c>
    </row>
    <row r="13" ht="30" customHeight="1">
      <c r="A13" s="17" t="n">
        <v>8</v>
      </c>
      <c r="B13" s="10" t="n"/>
      <c r="C13" s="10" t="n"/>
      <c r="D13" s="10" t="n"/>
      <c r="E13" s="10" t="n"/>
      <c r="F13" s="18">
        <f>IF(OR(D13="",E13=""),"",D13*(6-E13))</f>
        <v/>
      </c>
      <c r="G13" s="18">
        <f>IF(F13="","",IF(D13&gt;=3,IF(E13&lt;=3,"اختبر أولاً","راقب"),IF(E13&lt;=3,"لاحقاً","تجاهل الآن")))</f>
        <v/>
      </c>
    </row>
    <row r="14" ht="30" customHeight="1">
      <c r="A14" s="17" t="n">
        <v>9</v>
      </c>
      <c r="B14" s="10" t="n"/>
      <c r="C14" s="10" t="n"/>
      <c r="D14" s="10" t="n"/>
      <c r="E14" s="10" t="n"/>
      <c r="F14" s="18">
        <f>IF(OR(D14="",E14=""),"",D14*(6-E14))</f>
        <v/>
      </c>
      <c r="G14" s="18">
        <f>IF(F14="","",IF(D14&gt;=3,IF(E14&lt;=3,"اختبر أولاً","راقب"),IF(E14&lt;=3,"لاحقاً","تجاهل الآن")))</f>
        <v/>
      </c>
    </row>
    <row r="15" ht="30" customHeight="1">
      <c r="A15" s="17" t="n">
        <v>10</v>
      </c>
      <c r="B15" s="10" t="n"/>
      <c r="C15" s="10" t="n"/>
      <c r="D15" s="10" t="n"/>
      <c r="E15" s="10" t="n"/>
      <c r="F15" s="18">
        <f>IF(OR(D15="",E15=""),"",D15*(6-E15))</f>
        <v/>
      </c>
      <c r="G15" s="18">
        <f>IF(F15="","",IF(D15&gt;=3,IF(E15&lt;=3,"اختبر أولاً","راقب"),IF(E15&lt;=3,"لاحقاً","تجاهل الآن")))</f>
        <v/>
      </c>
    </row>
    <row r="16" ht="30" customHeight="1">
      <c r="A16" s="17" t="n">
        <v>11</v>
      </c>
      <c r="B16" s="10" t="n"/>
      <c r="C16" s="10" t="n"/>
      <c r="D16" s="10" t="n"/>
      <c r="E16" s="10" t="n"/>
      <c r="F16" s="18">
        <f>IF(OR(D16="",E16=""),"",D16*(6-E16))</f>
        <v/>
      </c>
      <c r="G16" s="18">
        <f>IF(F16="","",IF(D16&gt;=3,IF(E16&lt;=3,"اختبر أولاً","راقب"),IF(E16&lt;=3,"لاحقاً","تجاهل الآن")))</f>
        <v/>
      </c>
    </row>
    <row r="17" ht="30" customHeight="1">
      <c r="A17" s="17" t="n">
        <v>12</v>
      </c>
      <c r="B17" s="10" t="n"/>
      <c r="C17" s="10" t="n"/>
      <c r="D17" s="10" t="n"/>
      <c r="E17" s="10" t="n"/>
      <c r="F17" s="18">
        <f>IF(OR(D17="",E17=""),"",D17*(6-E17))</f>
        <v/>
      </c>
      <c r="G17" s="18">
        <f>IF(F17="","",IF(D17&gt;=3,IF(E17&lt;=3,"اختبر أولاً","راقب"),IF(E17&lt;=3,"لاحقاً","تجاهل الآن")))</f>
        <v/>
      </c>
    </row>
    <row r="18" ht="30" customHeight="1">
      <c r="A18" s="17" t="n">
        <v>13</v>
      </c>
      <c r="B18" s="10" t="n"/>
      <c r="C18" s="10" t="n"/>
      <c r="D18" s="10" t="n"/>
      <c r="E18" s="10" t="n"/>
      <c r="F18" s="18">
        <f>IF(OR(D18="",E18=""),"",D18*(6-E18))</f>
        <v/>
      </c>
      <c r="G18" s="18">
        <f>IF(F18="","",IF(D18&gt;=3,IF(E18&lt;=3,"اختبر أولاً","راقب"),IF(E18&lt;=3,"لاحقاً","تجاهل الآن")))</f>
        <v/>
      </c>
    </row>
    <row r="19" ht="30" customHeight="1">
      <c r="A19" s="17" t="n">
        <v>14</v>
      </c>
      <c r="B19" s="10" t="n"/>
      <c r="C19" s="10" t="n"/>
      <c r="D19" s="10" t="n"/>
      <c r="E19" s="10" t="n"/>
      <c r="F19" s="18">
        <f>IF(OR(D19="",E19=""),"",D19*(6-E19))</f>
        <v/>
      </c>
      <c r="G19" s="18">
        <f>IF(F19="","",IF(D19&gt;=3,IF(E19&lt;=3,"اختبر أولاً","راقب"),IF(E19&lt;=3,"لاحقاً","تجاهل الآن")))</f>
        <v/>
      </c>
    </row>
    <row r="20" ht="30" customHeight="1">
      <c r="A20" s="17" t="n">
        <v>15</v>
      </c>
      <c r="B20" s="10" t="n"/>
      <c r="C20" s="10" t="n"/>
      <c r="D20" s="10" t="n"/>
      <c r="E20" s="10" t="n"/>
      <c r="F20" s="18">
        <f>IF(OR(D20="",E20=""),"",D20*(6-E20))</f>
        <v/>
      </c>
      <c r="G20" s="18">
        <f>IF(F20="","",IF(D20&gt;=3,IF(E20&lt;=3,"اختبر أولاً","راقب"),IF(E20&lt;=3,"لاحقاً","تجاهل الآن")))</f>
        <v/>
      </c>
    </row>
  </sheetData>
  <mergeCells count="3">
    <mergeCell ref="A3:G3"/>
    <mergeCell ref="A2:G2"/>
    <mergeCell ref="A1:G1"/>
  </mergeCells>
  <conditionalFormatting sqref="G6:G20">
    <cfRule type="expression" priority="1" dxfId="1">
      <formula>G6="اختبر أولاً"</formula>
    </cfRule>
  </conditionalFormatting>
  <dataValidations count="2">
    <dataValidation sqref="C6:C20" showDropDown="0" showInputMessage="0" showErrorMessage="0" allowBlank="1" type="list">
      <formula1>"مرغوب,ممكن,مُجدٍ"</formula1>
    </dataValidation>
    <dataValidation sqref="D6:E20" showDropDown="0" showInputMessage="0" showErrorMessage="0" allowBlank="1" error="أدخل عدداً صحيحاً من 1 إلى 5." type="whole" operator="between">
      <formula1>1</formula1>
      <formula2>5</formula2>
    </dataValidation>
  </dataValidation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I17"/>
  <sheetViews>
    <sheetView showGridLines="0" rightToLeft="1" zoomScale="11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6" customWidth="1" min="4" max="4"/>
    <col width="10" customWidth="1" min="5" max="5"/>
    <col width="22" customWidth="1" min="6" max="6"/>
    <col width="28" customWidth="1" min="7" max="7"/>
    <col width="28" customWidth="1" min="8" max="8"/>
    <col width="14" customWidth="1" min="9" max="9"/>
  </cols>
  <sheetData>
    <row r="1">
      <c r="A1" s="1" t="inlineStr">
        <is>
          <t>حقيبة أدوات إنوفا فورج · ٣٫٢</t>
        </is>
      </c>
    </row>
    <row r="2" ht="28" customHeight="1">
      <c r="A2" s="2" t="inlineStr">
        <is>
          <t>الاختبارات</t>
        </is>
      </c>
    </row>
    <row r="3" ht="32" customHeight="1">
      <c r="A3" s="3" t="inlineStr">
        <is>
          <t>صفّ لكل اختبار. واكتب «نكون على حق إذا…» قبل إجراء الاختبار.</t>
        </is>
      </c>
    </row>
    <row r="5" ht="30" customHeight="1">
      <c r="A5" s="8" t="inlineStr">
        <is>
          <t>#</t>
        </is>
      </c>
      <c r="B5" s="8" t="inlineStr">
        <is>
          <t>رقم الافتراض</t>
        </is>
      </c>
      <c r="C5" s="8" t="inlineStr">
        <is>
          <t>نعتقد أن…</t>
        </is>
      </c>
      <c r="D5" s="8" t="inlineStr">
        <is>
          <t>الطريقة</t>
        </is>
      </c>
      <c r="E5" s="8" t="inlineStr">
        <is>
          <t>المستخدمون</t>
        </is>
      </c>
      <c r="F5" s="8" t="inlineStr">
        <is>
          <t>نقيس</t>
        </is>
      </c>
      <c r="G5" s="8" t="inlineStr">
        <is>
          <t>نكون على حق إذا…</t>
        </is>
      </c>
      <c r="H5" s="8" t="inlineStr">
        <is>
          <t>ما حدث</t>
        </is>
      </c>
      <c r="I5" s="8" t="inlineStr">
        <is>
          <t>الحكم</t>
        </is>
      </c>
    </row>
    <row r="6" ht="36" customHeight="1">
      <c r="A6" s="17" t="n">
        <v>1</v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 ht="36" customHeight="1">
      <c r="A7" s="17" t="n">
        <v>2</v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36" customHeight="1">
      <c r="A8" s="17" t="n">
        <v>3</v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36" customHeight="1">
      <c r="A9" s="17" t="n">
        <v>4</v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36" customHeight="1">
      <c r="A10" s="17" t="n">
        <v>5</v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36" customHeight="1">
      <c r="A11" s="17" t="n">
        <v>6</v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36" customHeight="1">
      <c r="A12" s="17" t="n">
        <v>7</v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36" customHeight="1">
      <c r="A13" s="17" t="n">
        <v>8</v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36" customHeight="1">
      <c r="A14" s="17" t="n">
        <v>9</v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36" customHeight="1">
      <c r="A15" s="17" t="n">
        <v>10</v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36" customHeight="1">
      <c r="A16" s="17" t="n">
        <v>11</v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36" customHeight="1">
      <c r="A17" s="17" t="n">
        <v>12</v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</sheetData>
  <mergeCells count="3">
    <mergeCell ref="A1:I1"/>
    <mergeCell ref="A3:I3"/>
    <mergeCell ref="A2:I2"/>
  </mergeCells>
  <dataValidations count="3">
    <dataValidation sqref="D6:D17" showDropDown="0" showInputMessage="0" showErrorMessage="0" allowBlank="1" type="list">
      <formula1>"مقابلات,تحليلات,اختبار مقارنة,اختبار سهولة الاستخدام"</formula1>
    </dataValidation>
    <dataValidation sqref="I6:I17" showDropDown="0" showInputMessage="0" showErrorMessage="0" allowBlank="1" type="list">
      <formula1>"مُتحقَّق منه,مدحوض"</formula1>
    </dataValidation>
    <dataValidation sqref="E6:E17" showDropDown="0" showInputMessage="0" showErrorMessage="0" allowBlank="1" error="أدخل عدداً صحيحاً من 0 إلى 10000." type="whole" operator="between">
      <formula1>0</formula1>
      <formula2>10000</formula2>
    </dataValidation>
  </dataValidation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F35"/>
  <sheetViews>
    <sheetView showGridLines="0" rightToLeft="1" zoomScale="11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34" customWidth="1" min="4" max="4"/>
    <col width="24" customWidth="1" min="5" max="5"/>
    <col width="14" customWidth="1" min="6" max="6"/>
  </cols>
  <sheetData>
    <row r="1">
      <c r="A1" s="1" t="inlineStr">
        <is>
          <t>حقيبة أدوات إنوفا فورج · ٣٫٣</t>
        </is>
      </c>
    </row>
    <row r="2" ht="28" customHeight="1">
      <c r="A2" s="2" t="inlineStr">
        <is>
          <t>سجل الملاحظات</t>
        </is>
      </c>
    </row>
    <row r="3" ht="32" customHeight="1">
      <c r="A3" s="3" t="inlineStr">
        <is>
          <t>من خمسة إلى عشرة مستخدمين في كل دورة. ما فعلوه قبل ما قالوه.</t>
        </is>
      </c>
    </row>
    <row r="5" ht="30" customHeight="1">
      <c r="A5" s="8" t="inlineStr">
        <is>
          <t>الدورة</t>
        </is>
      </c>
      <c r="B5" s="8" t="inlineStr">
        <is>
          <t>المستخدم</t>
        </is>
      </c>
      <c r="C5" s="8" t="inlineStr">
        <is>
          <t>ما فعلوه</t>
        </is>
      </c>
      <c r="D5" s="8" t="inlineStr">
        <is>
          <t>ما قالوه</t>
        </is>
      </c>
      <c r="E5" s="8" t="inlineStr">
        <is>
          <t>المفاجأة</t>
        </is>
      </c>
      <c r="F5" s="8" t="inlineStr">
        <is>
          <t>الافتراض ±</t>
        </is>
      </c>
    </row>
    <row r="6" ht="30" customHeight="1">
      <c r="A6" s="10" t="n"/>
      <c r="B6" s="10" t="n"/>
      <c r="C6" s="10" t="n"/>
      <c r="D6" s="10" t="n"/>
      <c r="E6" s="10" t="n"/>
      <c r="F6" s="10" t="n"/>
    </row>
    <row r="7" ht="30" customHeight="1">
      <c r="A7" s="10" t="n"/>
      <c r="B7" s="10" t="n"/>
      <c r="C7" s="10" t="n"/>
      <c r="D7" s="10" t="n"/>
      <c r="E7" s="10" t="n"/>
      <c r="F7" s="10" t="n"/>
    </row>
    <row r="8" ht="30" customHeight="1">
      <c r="A8" s="10" t="n"/>
      <c r="B8" s="10" t="n"/>
      <c r="C8" s="10" t="n"/>
      <c r="D8" s="10" t="n"/>
      <c r="E8" s="10" t="n"/>
      <c r="F8" s="10" t="n"/>
    </row>
    <row r="9" ht="30" customHeight="1">
      <c r="A9" s="10" t="n"/>
      <c r="B9" s="10" t="n"/>
      <c r="C9" s="10" t="n"/>
      <c r="D9" s="10" t="n"/>
      <c r="E9" s="10" t="n"/>
      <c r="F9" s="10" t="n"/>
    </row>
    <row r="10" ht="30" customHeight="1">
      <c r="A10" s="10" t="n"/>
      <c r="B10" s="10" t="n"/>
      <c r="C10" s="10" t="n"/>
      <c r="D10" s="10" t="n"/>
      <c r="E10" s="10" t="n"/>
      <c r="F10" s="10" t="n"/>
    </row>
    <row r="11" ht="30" customHeight="1">
      <c r="A11" s="10" t="n"/>
      <c r="B11" s="10" t="n"/>
      <c r="C11" s="10" t="n"/>
      <c r="D11" s="10" t="n"/>
      <c r="E11" s="10" t="n"/>
      <c r="F11" s="10" t="n"/>
    </row>
    <row r="12" ht="30" customHeight="1">
      <c r="A12" s="10" t="n"/>
      <c r="B12" s="10" t="n"/>
      <c r="C12" s="10" t="n"/>
      <c r="D12" s="10" t="n"/>
      <c r="E12" s="10" t="n"/>
      <c r="F12" s="10" t="n"/>
    </row>
    <row r="13" ht="30" customHeight="1">
      <c r="A13" s="10" t="n"/>
      <c r="B13" s="10" t="n"/>
      <c r="C13" s="10" t="n"/>
      <c r="D13" s="10" t="n"/>
      <c r="E13" s="10" t="n"/>
      <c r="F13" s="10" t="n"/>
    </row>
    <row r="14" ht="30" customHeight="1">
      <c r="A14" s="10" t="n"/>
      <c r="B14" s="10" t="n"/>
      <c r="C14" s="10" t="n"/>
      <c r="D14" s="10" t="n"/>
      <c r="E14" s="10" t="n"/>
      <c r="F14" s="10" t="n"/>
    </row>
    <row r="15" ht="30" customHeight="1">
      <c r="A15" s="10" t="n"/>
      <c r="B15" s="10" t="n"/>
      <c r="C15" s="10" t="n"/>
      <c r="D15" s="10" t="n"/>
      <c r="E15" s="10" t="n"/>
      <c r="F15" s="10" t="n"/>
    </row>
    <row r="16" ht="30" customHeight="1">
      <c r="A16" s="10" t="n"/>
      <c r="B16" s="10" t="n"/>
      <c r="C16" s="10" t="n"/>
      <c r="D16" s="10" t="n"/>
      <c r="E16" s="10" t="n"/>
      <c r="F16" s="10" t="n"/>
    </row>
    <row r="17" ht="30" customHeight="1">
      <c r="A17" s="10" t="n"/>
      <c r="B17" s="10" t="n"/>
      <c r="C17" s="10" t="n"/>
      <c r="D17" s="10" t="n"/>
      <c r="E17" s="10" t="n"/>
      <c r="F17" s="10" t="n"/>
    </row>
    <row r="18" ht="30" customHeight="1">
      <c r="A18" s="10" t="n"/>
      <c r="B18" s="10" t="n"/>
      <c r="C18" s="10" t="n"/>
      <c r="D18" s="10" t="n"/>
      <c r="E18" s="10" t="n"/>
      <c r="F18" s="10" t="n"/>
    </row>
    <row r="19" ht="30" customHeight="1">
      <c r="A19" s="10" t="n"/>
      <c r="B19" s="10" t="n"/>
      <c r="C19" s="10" t="n"/>
      <c r="D19" s="10" t="n"/>
      <c r="E19" s="10" t="n"/>
      <c r="F19" s="10" t="n"/>
    </row>
    <row r="20" ht="30" customHeight="1">
      <c r="A20" s="10" t="n"/>
      <c r="B20" s="10" t="n"/>
      <c r="C20" s="10" t="n"/>
      <c r="D20" s="10" t="n"/>
      <c r="E20" s="10" t="n"/>
      <c r="F20" s="10" t="n"/>
    </row>
    <row r="21" ht="30" customHeight="1">
      <c r="A21" s="10" t="n"/>
      <c r="B21" s="10" t="n"/>
      <c r="C21" s="10" t="n"/>
      <c r="D21" s="10" t="n"/>
      <c r="E21" s="10" t="n"/>
      <c r="F21" s="10" t="n"/>
    </row>
    <row r="22" ht="30" customHeight="1">
      <c r="A22" s="10" t="n"/>
      <c r="B22" s="10" t="n"/>
      <c r="C22" s="10" t="n"/>
      <c r="D22" s="10" t="n"/>
      <c r="E22" s="10" t="n"/>
      <c r="F22" s="10" t="n"/>
    </row>
    <row r="23" ht="30" customHeight="1">
      <c r="A23" s="10" t="n"/>
      <c r="B23" s="10" t="n"/>
      <c r="C23" s="10" t="n"/>
      <c r="D23" s="10" t="n"/>
      <c r="E23" s="10" t="n"/>
      <c r="F23" s="10" t="n"/>
    </row>
    <row r="24" ht="30" customHeight="1">
      <c r="A24" s="10" t="n"/>
      <c r="B24" s="10" t="n"/>
      <c r="C24" s="10" t="n"/>
      <c r="D24" s="10" t="n"/>
      <c r="E24" s="10" t="n"/>
      <c r="F24" s="10" t="n"/>
    </row>
    <row r="25" ht="30" customHeight="1">
      <c r="A25" s="10" t="n"/>
      <c r="B25" s="10" t="n"/>
      <c r="C25" s="10" t="n"/>
      <c r="D25" s="10" t="n"/>
      <c r="E25" s="10" t="n"/>
      <c r="F25" s="10" t="n"/>
    </row>
    <row r="26" ht="30" customHeight="1">
      <c r="A26" s="10" t="n"/>
      <c r="B26" s="10" t="n"/>
      <c r="C26" s="10" t="n"/>
      <c r="D26" s="10" t="n"/>
      <c r="E26" s="10" t="n"/>
      <c r="F26" s="10" t="n"/>
    </row>
    <row r="27" ht="30" customHeight="1">
      <c r="A27" s="10" t="n"/>
      <c r="B27" s="10" t="n"/>
      <c r="C27" s="10" t="n"/>
      <c r="D27" s="10" t="n"/>
      <c r="E27" s="10" t="n"/>
      <c r="F27" s="10" t="n"/>
    </row>
    <row r="28" ht="30" customHeight="1">
      <c r="A28" s="10" t="n"/>
      <c r="B28" s="10" t="n"/>
      <c r="C28" s="10" t="n"/>
      <c r="D28" s="10" t="n"/>
      <c r="E28" s="10" t="n"/>
      <c r="F28" s="10" t="n"/>
    </row>
    <row r="29" ht="30" customHeight="1">
      <c r="A29" s="10" t="n"/>
      <c r="B29" s="10" t="n"/>
      <c r="C29" s="10" t="n"/>
      <c r="D29" s="10" t="n"/>
      <c r="E29" s="10" t="n"/>
      <c r="F29" s="10" t="n"/>
    </row>
    <row r="30" ht="30" customHeight="1">
      <c r="A30" s="10" t="n"/>
      <c r="B30" s="10" t="n"/>
      <c r="C30" s="10" t="n"/>
      <c r="D30" s="10" t="n"/>
      <c r="E30" s="10" t="n"/>
      <c r="F30" s="10" t="n"/>
    </row>
    <row r="31" ht="30" customHeight="1">
      <c r="A31" s="10" t="n"/>
      <c r="B31" s="10" t="n"/>
      <c r="C31" s="10" t="n"/>
      <c r="D31" s="10" t="n"/>
      <c r="E31" s="10" t="n"/>
      <c r="F31" s="10" t="n"/>
    </row>
    <row r="32" ht="30" customHeight="1">
      <c r="A32" s="10" t="n"/>
      <c r="B32" s="10" t="n"/>
      <c r="C32" s="10" t="n"/>
      <c r="D32" s="10" t="n"/>
      <c r="E32" s="10" t="n"/>
      <c r="F32" s="10" t="n"/>
    </row>
    <row r="33" ht="30" customHeight="1">
      <c r="A33" s="10" t="n"/>
      <c r="B33" s="10" t="n"/>
      <c r="C33" s="10" t="n"/>
      <c r="D33" s="10" t="n"/>
      <c r="E33" s="10" t="n"/>
      <c r="F33" s="10" t="n"/>
    </row>
    <row r="34" ht="30" customHeight="1">
      <c r="A34" s="10" t="n"/>
      <c r="B34" s="10" t="n"/>
      <c r="C34" s="10" t="n"/>
      <c r="D34" s="10" t="n"/>
      <c r="E34" s="10" t="n"/>
      <c r="F34" s="10" t="n"/>
    </row>
    <row r="35" ht="30" customHeight="1">
      <c r="A35" s="10" t="n"/>
      <c r="B35" s="10" t="n"/>
      <c r="C35" s="10" t="n"/>
      <c r="D35" s="10" t="n"/>
      <c r="E35" s="10" t="n"/>
      <c r="F35" s="10" t="n"/>
    </row>
  </sheetData>
  <mergeCells count="3">
    <mergeCell ref="A3:F3"/>
    <mergeCell ref="A2:F2"/>
    <mergeCell ref="A1:F1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E21"/>
  <sheetViews>
    <sheetView showGridLines="0" rightToLeft="1" zoomScale="11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4" customWidth="1" min="4" max="4"/>
    <col width="14" customWidth="1" min="5" max="5"/>
  </cols>
  <sheetData>
    <row r="1">
      <c r="A1" s="1" t="inlineStr">
        <is>
          <t>حقيبة أدوات إنوفا فورج · ٣٫٥</t>
        </is>
      </c>
    </row>
    <row r="2" ht="28" customHeight="1">
      <c r="A2" s="2" t="inlineStr">
        <is>
          <t>ابنِ ثم قِس ثم تعلّم</t>
        </is>
      </c>
    </row>
    <row r="3" ht="32" customHeight="1">
      <c r="A3" s="3" t="inlineStr">
        <is>
          <t>تنتهي كل دورة بقرار مبنيّ على الدليل: المضيّ أو التحوّل.</t>
        </is>
      </c>
    </row>
    <row r="5" ht="30" customHeight="1">
      <c r="A5" s="8" t="inlineStr">
        <is>
          <t>الدورة</t>
        </is>
      </c>
      <c r="B5" s="8" t="inlineStr">
        <is>
          <t>ما بنيناه</t>
        </is>
      </c>
      <c r="C5" s="8" t="inlineStr">
        <is>
          <t>ما قسناه</t>
        </is>
      </c>
      <c r="D5" s="8" t="inlineStr">
        <is>
          <t>ما تعلّمناه</t>
        </is>
      </c>
      <c r="E5" s="8" t="inlineStr">
        <is>
          <t>القرار</t>
        </is>
      </c>
    </row>
    <row r="6" ht="44" customHeight="1">
      <c r="A6" s="17" t="n">
        <v>1</v>
      </c>
      <c r="B6" s="10" t="n"/>
      <c r="C6" s="10" t="n"/>
      <c r="D6" s="10" t="n"/>
      <c r="E6" s="10" t="n"/>
    </row>
    <row r="7" ht="44" customHeight="1">
      <c r="A7" s="17" t="n">
        <v>2</v>
      </c>
      <c r="B7" s="10" t="n"/>
      <c r="C7" s="10" t="n"/>
      <c r="D7" s="10" t="n"/>
      <c r="E7" s="10" t="n"/>
    </row>
    <row r="8" ht="44" customHeight="1">
      <c r="A8" s="17" t="n">
        <v>3</v>
      </c>
      <c r="B8" s="10" t="n"/>
      <c r="C8" s="10" t="n"/>
      <c r="D8" s="10" t="n"/>
      <c r="E8" s="10" t="n"/>
    </row>
    <row r="9" ht="44" customHeight="1">
      <c r="A9" s="17" t="n">
        <v>4</v>
      </c>
      <c r="B9" s="10" t="n"/>
      <c r="C9" s="10" t="n"/>
      <c r="D9" s="10" t="n"/>
      <c r="E9" s="10" t="n"/>
    </row>
    <row r="10" ht="44" customHeight="1">
      <c r="A10" s="17" t="n">
        <v>5</v>
      </c>
      <c r="B10" s="10" t="n"/>
      <c r="C10" s="10" t="n"/>
      <c r="D10" s="10" t="n"/>
      <c r="E10" s="10" t="n"/>
    </row>
    <row r="11" ht="44" customHeight="1">
      <c r="A11" s="17" t="n">
        <v>6</v>
      </c>
      <c r="B11" s="10" t="n"/>
      <c r="C11" s="10" t="n"/>
      <c r="D11" s="10" t="n"/>
      <c r="E11" s="10" t="n"/>
    </row>
    <row r="12" ht="44" customHeight="1">
      <c r="A12" s="17" t="n">
        <v>7</v>
      </c>
      <c r="B12" s="10" t="n"/>
      <c r="C12" s="10" t="n"/>
      <c r="D12" s="10" t="n"/>
      <c r="E12" s="10" t="n"/>
    </row>
    <row r="13" ht="44" customHeight="1">
      <c r="A13" s="17" t="n">
        <v>8</v>
      </c>
      <c r="B13" s="10" t="n"/>
      <c r="C13" s="10" t="n"/>
      <c r="D13" s="10" t="n"/>
      <c r="E13" s="10" t="n"/>
    </row>
    <row r="15" ht="20" customHeight="1">
      <c r="A15" s="6" t="inlineStr">
        <is>
          <t>سجل التحوّلات</t>
        </is>
      </c>
    </row>
    <row r="16" ht="30" customHeight="1">
      <c r="A16" s="8" t="inlineStr">
        <is>
          <t>من</t>
        </is>
      </c>
      <c r="B16" s="8" t="inlineStr">
        <is>
          <t>إلى</t>
        </is>
      </c>
      <c r="C16" s="8" t="inlineStr">
        <is>
          <t>الدليل الذي جعلنا نتحوّل</t>
        </is>
      </c>
      <c r="D16" s="8" t="inlineStr"/>
      <c r="E16" s="8" t="inlineStr"/>
    </row>
    <row r="17" ht="36" customHeight="1">
      <c r="A17" s="10" t="n"/>
      <c r="B17" s="10" t="n"/>
      <c r="C17" s="10" t="n"/>
      <c r="D17" s="10" t="n"/>
      <c r="E17" s="10" t="n"/>
    </row>
    <row r="18" ht="36" customHeight="1">
      <c r="A18" s="10" t="n"/>
      <c r="B18" s="10" t="n"/>
      <c r="C18" s="10" t="n"/>
      <c r="D18" s="10" t="n"/>
      <c r="E18" s="10" t="n"/>
    </row>
    <row r="19" ht="36" customHeight="1">
      <c r="A19" s="10" t="n"/>
      <c r="B19" s="10" t="n"/>
      <c r="C19" s="10" t="n"/>
      <c r="D19" s="10" t="n"/>
      <c r="E19" s="10" t="n"/>
    </row>
    <row r="20" ht="36" customHeight="1">
      <c r="A20" s="10" t="n"/>
      <c r="B20" s="10" t="n"/>
      <c r="C20" s="10" t="n"/>
      <c r="D20" s="10" t="n"/>
      <c r="E20" s="10" t="n"/>
    </row>
    <row r="21" ht="36" customHeight="1">
      <c r="A21" s="10" t="n"/>
      <c r="B21" s="10" t="n"/>
      <c r="C21" s="10" t="n"/>
      <c r="D21" s="10" t="n"/>
      <c r="E21" s="10" t="n"/>
    </row>
  </sheetData>
  <mergeCells count="4">
    <mergeCell ref="A2:E2"/>
    <mergeCell ref="A15:E15"/>
    <mergeCell ref="A1:E1"/>
    <mergeCell ref="A3:E3"/>
  </mergeCells>
  <dataValidations count="1">
    <dataValidation sqref="E6:E13" showDropDown="0" showInputMessage="0" showErrorMessage="0" allowBlank="1" type="list">
      <formula1>"نمضي,نتحوّل"</formula1>
    </dataValidation>
  </dataValidation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13"/>
  <sheetViews>
    <sheetView showGridLines="0" rightToLeft="1" zoomScale="110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حقيبة أدوات إنوفا فورج · ٤٫١</t>
        </is>
      </c>
    </row>
    <row r="2" ht="28" customHeight="1">
      <c r="A2" s="2" t="inlineStr">
        <is>
          <t>التحليل الرباعي</t>
        </is>
      </c>
    </row>
    <row r="3" ht="32" customHeight="1">
      <c r="A3" s="3" t="inlineStr">
        <is>
          <t>اربط الحل بالرسالة أولاً، ثم زاوج بين الأرباع لتخرج ببنود لخارطة الطريق وبالمخاطر.</t>
        </is>
      </c>
    </row>
    <row r="5" ht="20" customHeight="1">
      <c r="A5" s="6" t="inlineStr">
        <is>
          <t>سطر الرسالة أو الاستراتيجية الذي يخدمه، وكيف</t>
        </is>
      </c>
    </row>
    <row r="6" ht="44" customHeight="1">
      <c r="A6" s="15" t="n"/>
      <c r="B6" s="16" t="n"/>
    </row>
    <row r="8" ht="30" customHeight="1">
      <c r="A8" s="8" t="inlineStr">
        <is>
          <t>نقاط القوة (داخلية)</t>
        </is>
      </c>
      <c r="B8" s="8" t="inlineStr">
        <is>
          <t>نقاط الضعف (داخلية)</t>
        </is>
      </c>
    </row>
    <row r="9" ht="120" customHeight="1">
      <c r="A9" s="10" t="n"/>
      <c r="B9" s="10" t="n"/>
    </row>
    <row r="10" ht="30" customHeight="1">
      <c r="A10" s="8" t="inlineStr">
        <is>
          <t>الفرص (خارجية)</t>
        </is>
      </c>
      <c r="B10" s="8" t="inlineStr">
        <is>
          <t>التهديدات (خارجية)</t>
        </is>
      </c>
    </row>
    <row r="11" ht="120" customHeight="1">
      <c r="A11" s="10" t="n"/>
      <c r="B11" s="10" t="n"/>
    </row>
    <row r="12" ht="30" customHeight="1">
      <c r="A12" s="8" t="inlineStr">
        <is>
          <t>قوة × فرصة ← بند في خارطة الطريق</t>
        </is>
      </c>
      <c r="B12" s="8" t="inlineStr">
        <is>
          <t>ضعف × تهديد ← خطر</t>
        </is>
      </c>
    </row>
    <row r="13" ht="80" customHeight="1">
      <c r="A13" s="10" t="n"/>
      <c r="B13" s="10" t="n"/>
    </row>
  </sheetData>
  <mergeCells count="5">
    <mergeCell ref="A2:B2"/>
    <mergeCell ref="A5:B5"/>
    <mergeCell ref="A1:B1"/>
    <mergeCell ref="A3:B3"/>
    <mergeCell ref="A6:B6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H17"/>
  <sheetViews>
    <sheetView showGridLines="0" rightToLeft="1" zoomScale="11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</cols>
  <sheetData>
    <row r="1">
      <c r="A1" s="1" t="inlineStr">
        <is>
          <t>حقيبة أدوات إنوفا فورج · ٤٫٣</t>
        </is>
      </c>
    </row>
    <row r="2" ht="28" customHeight="1">
      <c r="A2" s="2" t="inlineStr">
        <is>
          <t>الأهداف والنتائج</t>
        </is>
      </c>
    </row>
    <row r="3" ht="32" customHeight="1">
      <c r="A3" s="3" t="inlineStr">
        <is>
          <t>لكل نتيجة رئيسية خط أساس وقيمة مستهدفة. أدخل القيمة الحالية لترى التقدّم؛ والصقل يتابعها.</t>
        </is>
      </c>
    </row>
    <row r="5" ht="30" customHeight="1">
      <c r="A5" s="8" t="inlineStr">
        <is>
          <t>الهدف</t>
        </is>
      </c>
      <c r="B5" s="8" t="inlineStr">
        <is>
          <t>النتيجة الرئيسية</t>
        </is>
      </c>
      <c r="C5" s="8" t="inlineStr">
        <is>
          <t>خط الأساس</t>
        </is>
      </c>
      <c r="D5" s="8" t="inlineStr">
        <is>
          <t>المستهدف</t>
        </is>
      </c>
      <c r="E5" s="8" t="inlineStr">
        <is>
          <t>الحالي</t>
        </is>
      </c>
      <c r="F5" s="8" t="inlineStr">
        <is>
          <t>التقدّم</t>
        </is>
      </c>
      <c r="G5" s="8" t="inlineStr">
        <is>
          <t>المسؤول</t>
        </is>
      </c>
      <c r="H5" s="8" t="inlineStr">
        <is>
          <t>بحلول</t>
        </is>
      </c>
    </row>
    <row r="6" ht="30" customHeight="1">
      <c r="A6" s="10" t="n"/>
      <c r="B6" s="10" t="n"/>
      <c r="C6" s="10" t="n"/>
      <c r="D6" s="10" t="n"/>
      <c r="E6" s="10" t="n"/>
      <c r="F6" s="19">
        <f>IF(OR(C6="",D6="",E6="",D6=C6),"",(E6-C6)/(D6-C6))</f>
        <v/>
      </c>
      <c r="G6" s="10" t="n"/>
      <c r="H6" s="10" t="n"/>
    </row>
    <row r="7" ht="30" customHeight="1">
      <c r="A7" s="20" t="n"/>
      <c r="B7" s="10" t="n"/>
      <c r="C7" s="10" t="n"/>
      <c r="D7" s="10" t="n"/>
      <c r="E7" s="10" t="n"/>
      <c r="F7" s="19">
        <f>IF(OR(C7="",D7="",E7="",D7=C7),"",(E7-C7)/(D7-C7))</f>
        <v/>
      </c>
      <c r="G7" s="10" t="n"/>
      <c r="H7" s="10" t="n"/>
    </row>
    <row r="8" ht="30" customHeight="1">
      <c r="A8" s="21" t="n"/>
      <c r="B8" s="10" t="n"/>
      <c r="C8" s="10" t="n"/>
      <c r="D8" s="10" t="n"/>
      <c r="E8" s="10" t="n"/>
      <c r="F8" s="19">
        <f>IF(OR(C8="",D8="",E8="",D8=C8),"",(E8-C8)/(D8-C8))</f>
        <v/>
      </c>
      <c r="G8" s="10" t="n"/>
      <c r="H8" s="10" t="n"/>
    </row>
    <row r="9" ht="30" customHeight="1">
      <c r="A9" s="10" t="n"/>
      <c r="B9" s="10" t="n"/>
      <c r="C9" s="10" t="n"/>
      <c r="D9" s="10" t="n"/>
      <c r="E9" s="10" t="n"/>
      <c r="F9" s="19">
        <f>IF(OR(C9="",D9="",E9="",D9=C9),"",(E9-C9)/(D9-C9))</f>
        <v/>
      </c>
      <c r="G9" s="10" t="n"/>
      <c r="H9" s="10" t="n"/>
    </row>
    <row r="10" ht="30" customHeight="1">
      <c r="A10" s="20" t="n"/>
      <c r="B10" s="10" t="n"/>
      <c r="C10" s="10" t="n"/>
      <c r="D10" s="10" t="n"/>
      <c r="E10" s="10" t="n"/>
      <c r="F10" s="19">
        <f>IF(OR(C10="",D10="",E10="",D10=C10),"",(E10-C10)/(D10-C10))</f>
        <v/>
      </c>
      <c r="G10" s="10" t="n"/>
      <c r="H10" s="10" t="n"/>
    </row>
    <row r="11" ht="30" customHeight="1">
      <c r="A11" s="21" t="n"/>
      <c r="B11" s="10" t="n"/>
      <c r="C11" s="10" t="n"/>
      <c r="D11" s="10" t="n"/>
      <c r="E11" s="10" t="n"/>
      <c r="F11" s="19">
        <f>IF(OR(C11="",D11="",E11="",D11=C11),"",(E11-C11)/(D11-C11))</f>
        <v/>
      </c>
      <c r="G11" s="10" t="n"/>
      <c r="H11" s="10" t="n"/>
    </row>
    <row r="12" ht="30" customHeight="1">
      <c r="A12" s="10" t="n"/>
      <c r="B12" s="10" t="n"/>
      <c r="C12" s="10" t="n"/>
      <c r="D12" s="10" t="n"/>
      <c r="E12" s="10" t="n"/>
      <c r="F12" s="19">
        <f>IF(OR(C12="",D12="",E12="",D12=C12),"",(E12-C12)/(D12-C12))</f>
        <v/>
      </c>
      <c r="G12" s="10" t="n"/>
      <c r="H12" s="10" t="n"/>
    </row>
    <row r="13" ht="30" customHeight="1">
      <c r="A13" s="20" t="n"/>
      <c r="B13" s="10" t="n"/>
      <c r="C13" s="10" t="n"/>
      <c r="D13" s="10" t="n"/>
      <c r="E13" s="10" t="n"/>
      <c r="F13" s="19">
        <f>IF(OR(C13="",D13="",E13="",D13=C13),"",(E13-C13)/(D13-C13))</f>
        <v/>
      </c>
      <c r="G13" s="10" t="n"/>
      <c r="H13" s="10" t="n"/>
    </row>
    <row r="14" ht="30" customHeight="1">
      <c r="A14" s="21" t="n"/>
      <c r="B14" s="10" t="n"/>
      <c r="C14" s="10" t="n"/>
      <c r="D14" s="10" t="n"/>
      <c r="E14" s="10" t="n"/>
      <c r="F14" s="19">
        <f>IF(OR(C14="",D14="",E14="",D14=C14),"",(E14-C14)/(D14-C14))</f>
        <v/>
      </c>
      <c r="G14" s="10" t="n"/>
      <c r="H14" s="10" t="n"/>
    </row>
    <row r="15" ht="30" customHeight="1">
      <c r="A15" s="10" t="n"/>
      <c r="B15" s="10" t="n"/>
      <c r="C15" s="10" t="n"/>
      <c r="D15" s="10" t="n"/>
      <c r="E15" s="10" t="n"/>
      <c r="F15" s="19">
        <f>IF(OR(C15="",D15="",E15="",D15=C15),"",(E15-C15)/(D15-C15))</f>
        <v/>
      </c>
      <c r="G15" s="10" t="n"/>
      <c r="H15" s="10" t="n"/>
    </row>
    <row r="16" ht="30" customHeight="1">
      <c r="A16" s="20" t="n"/>
      <c r="B16" s="10" t="n"/>
      <c r="C16" s="10" t="n"/>
      <c r="D16" s="10" t="n"/>
      <c r="E16" s="10" t="n"/>
      <c r="F16" s="19">
        <f>IF(OR(C16="",D16="",E16="",D16=C16),"",(E16-C16)/(D16-C16))</f>
        <v/>
      </c>
      <c r="G16" s="10" t="n"/>
      <c r="H16" s="10" t="n"/>
    </row>
    <row r="17" ht="30" customHeight="1">
      <c r="A17" s="21" t="n"/>
      <c r="B17" s="10" t="n"/>
      <c r="C17" s="10" t="n"/>
      <c r="D17" s="10" t="n"/>
      <c r="E17" s="10" t="n"/>
      <c r="F17" s="19">
        <f>IF(OR(C17="",D17="",E17="",D17=C17),"",(E17-C17)/(D17-C17))</f>
        <v/>
      </c>
      <c r="G17" s="10" t="n"/>
      <c r="H17" s="10" t="n"/>
    </row>
  </sheetData>
  <mergeCells count="7">
    <mergeCell ref="A3:H3"/>
    <mergeCell ref="A12:A14"/>
    <mergeCell ref="A2:H2"/>
    <mergeCell ref="A15:A17"/>
    <mergeCell ref="A1:H1"/>
    <mergeCell ref="A6:A8"/>
    <mergeCell ref="A9:A1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33"/>
  <sheetViews>
    <sheetView showGridLines="0" rightToLeft="1"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حقيبة أدوات إنوفا فورج · ٤٫٤</t>
        </is>
      </c>
    </row>
    <row r="2" ht="28" customHeight="1">
      <c r="A2" s="2" t="inlineStr">
        <is>
          <t>خارطة الطريق</t>
        </is>
      </c>
    </row>
    <row r="3" ht="32" customHeight="1">
      <c r="A3" s="3" t="inlineStr">
        <is>
          <t>من ثلاثة إلى ستة أشهر بحسب مسارات العمل، ثم دورات العمل الأولى قصصَ مستخدم.</t>
        </is>
      </c>
    </row>
    <row r="5" ht="30" customHeight="1">
      <c r="A5" s="8" t="inlineStr">
        <is>
          <t>المسار</t>
        </is>
      </c>
      <c r="B5" s="8" t="inlineStr">
        <is>
          <t>الشهر ١</t>
        </is>
      </c>
      <c r="C5" s="8" t="inlineStr">
        <is>
          <t>الشهر ٢</t>
        </is>
      </c>
      <c r="D5" s="8" t="inlineStr">
        <is>
          <t>الشهر ٣</t>
        </is>
      </c>
      <c r="E5" s="8" t="inlineStr">
        <is>
          <t>الشهر ٤</t>
        </is>
      </c>
      <c r="F5" s="8" t="inlineStr">
        <is>
          <t>الشهر ٥</t>
        </is>
      </c>
      <c r="G5" s="8" t="inlineStr">
        <is>
          <t>الشهر ٦</t>
        </is>
      </c>
    </row>
    <row r="6" ht="50" customHeight="1">
      <c r="A6" s="14" t="inlineStr">
        <is>
          <t>المنتج</t>
        </is>
      </c>
      <c r="B6" s="10" t="n"/>
      <c r="C6" s="10" t="n"/>
      <c r="D6" s="10" t="n"/>
      <c r="E6" s="10" t="n"/>
      <c r="F6" s="10" t="n"/>
      <c r="G6" s="10" t="n"/>
    </row>
    <row r="7" ht="50" customHeight="1">
      <c r="A7" s="14" t="inlineStr">
        <is>
          <t>الأفراد والمهارات</t>
        </is>
      </c>
      <c r="B7" s="10" t="n"/>
      <c r="C7" s="10" t="n"/>
      <c r="D7" s="10" t="n"/>
      <c r="E7" s="10" t="n"/>
      <c r="F7" s="10" t="n"/>
      <c r="G7" s="10" t="n"/>
    </row>
    <row r="8" ht="50" customHeight="1">
      <c r="A8" s="14" t="inlineStr">
        <is>
          <t>المستخدمون والسوق</t>
        </is>
      </c>
      <c r="B8" s="10" t="n"/>
      <c r="C8" s="10" t="n"/>
      <c r="D8" s="10" t="n"/>
      <c r="E8" s="10" t="n"/>
      <c r="F8" s="10" t="n"/>
      <c r="G8" s="10" t="n"/>
    </row>
    <row r="9" ht="50" customHeight="1">
      <c r="A9" s="14" t="inlineStr">
        <is>
          <t>التشغيل</t>
        </is>
      </c>
      <c r="B9" s="10" t="n"/>
      <c r="C9" s="10" t="n"/>
      <c r="D9" s="10" t="n"/>
      <c r="E9" s="10" t="n"/>
      <c r="F9" s="10" t="n"/>
      <c r="G9" s="10" t="n"/>
    </row>
    <row r="10" ht="50" customHeight="1">
      <c r="A10" s="14" t="inlineStr">
        <is>
          <t>المحطات</t>
        </is>
      </c>
      <c r="B10" s="10" t="n"/>
      <c r="C10" s="10" t="n"/>
      <c r="D10" s="10" t="n"/>
      <c r="E10" s="10" t="n"/>
      <c r="F10" s="10" t="n"/>
      <c r="G10" s="10" t="n"/>
    </row>
    <row r="12" ht="20" customHeight="1">
      <c r="A12" s="6" t="inlineStr">
        <is>
          <t>دورات العمل وقصص المستخدم</t>
        </is>
      </c>
    </row>
    <row r="13" ht="30" customHeight="1">
      <c r="A13" s="8" t="inlineStr">
        <is>
          <t>الدورة</t>
        </is>
      </c>
      <c r="B13" s="8" t="inlineStr">
        <is>
          <t>بصفتي…، أريد…، كي…</t>
        </is>
      </c>
      <c r="C13" s="8" t="inlineStr"/>
      <c r="D13" s="8" t="inlineStr"/>
      <c r="E13" s="8" t="inlineStr">
        <is>
          <t>تُنجَز حين</t>
        </is>
      </c>
      <c r="F13" s="8" t="inlineStr"/>
      <c r="G13" s="8" t="inlineStr">
        <is>
          <t>الحالة</t>
        </is>
      </c>
    </row>
    <row r="14" ht="28" customHeight="1">
      <c r="A14" s="10" t="n"/>
      <c r="B14" s="10" t="n"/>
      <c r="C14" s="22" t="n"/>
      <c r="D14" s="23" t="n"/>
      <c r="E14" s="10" t="n"/>
      <c r="F14" s="23" t="n"/>
      <c r="G14" s="10" t="n"/>
    </row>
    <row r="15" ht="28" customHeight="1">
      <c r="A15" s="10" t="n"/>
      <c r="B15" s="10" t="n"/>
      <c r="C15" s="22" t="n"/>
      <c r="D15" s="23" t="n"/>
      <c r="E15" s="10" t="n"/>
      <c r="F15" s="23" t="n"/>
      <c r="G15" s="10" t="n"/>
    </row>
    <row r="16" ht="28" customHeight="1">
      <c r="A16" s="10" t="n"/>
      <c r="B16" s="10" t="n"/>
      <c r="C16" s="22" t="n"/>
      <c r="D16" s="23" t="n"/>
      <c r="E16" s="10" t="n"/>
      <c r="F16" s="23" t="n"/>
      <c r="G16" s="10" t="n"/>
    </row>
    <row r="17" ht="28" customHeight="1">
      <c r="A17" s="10" t="n"/>
      <c r="B17" s="10" t="n"/>
      <c r="C17" s="22" t="n"/>
      <c r="D17" s="23" t="n"/>
      <c r="E17" s="10" t="n"/>
      <c r="F17" s="23" t="n"/>
      <c r="G17" s="10" t="n"/>
    </row>
    <row r="18" ht="28" customHeight="1">
      <c r="A18" s="10" t="n"/>
      <c r="B18" s="10" t="n"/>
      <c r="C18" s="22" t="n"/>
      <c r="D18" s="23" t="n"/>
      <c r="E18" s="10" t="n"/>
      <c r="F18" s="23" t="n"/>
      <c r="G18" s="10" t="n"/>
    </row>
    <row r="19" ht="28" customHeight="1">
      <c r="A19" s="10" t="n"/>
      <c r="B19" s="10" t="n"/>
      <c r="C19" s="22" t="n"/>
      <c r="D19" s="23" t="n"/>
      <c r="E19" s="10" t="n"/>
      <c r="F19" s="23" t="n"/>
      <c r="G19" s="10" t="n"/>
    </row>
    <row r="20" ht="28" customHeight="1">
      <c r="A20" s="10" t="n"/>
      <c r="B20" s="10" t="n"/>
      <c r="C20" s="22" t="n"/>
      <c r="D20" s="23" t="n"/>
      <c r="E20" s="10" t="n"/>
      <c r="F20" s="23" t="n"/>
      <c r="G20" s="10" t="n"/>
    </row>
    <row r="21" ht="28" customHeight="1">
      <c r="A21" s="10" t="n"/>
      <c r="B21" s="10" t="n"/>
      <c r="C21" s="22" t="n"/>
      <c r="D21" s="23" t="n"/>
      <c r="E21" s="10" t="n"/>
      <c r="F21" s="23" t="n"/>
      <c r="G21" s="10" t="n"/>
    </row>
    <row r="22" ht="28" customHeight="1">
      <c r="A22" s="10" t="n"/>
      <c r="B22" s="10" t="n"/>
      <c r="C22" s="22" t="n"/>
      <c r="D22" s="23" t="n"/>
      <c r="E22" s="10" t="n"/>
      <c r="F22" s="23" t="n"/>
      <c r="G22" s="10" t="n"/>
    </row>
    <row r="23" ht="28" customHeight="1">
      <c r="A23" s="10" t="n"/>
      <c r="B23" s="10" t="n"/>
      <c r="C23" s="22" t="n"/>
      <c r="D23" s="23" t="n"/>
      <c r="E23" s="10" t="n"/>
      <c r="F23" s="23" t="n"/>
      <c r="G23" s="10" t="n"/>
    </row>
    <row r="24" ht="28" customHeight="1">
      <c r="A24" s="10" t="n"/>
      <c r="B24" s="10" t="n"/>
      <c r="C24" s="22" t="n"/>
      <c r="D24" s="23" t="n"/>
      <c r="E24" s="10" t="n"/>
      <c r="F24" s="23" t="n"/>
      <c r="G24" s="10" t="n"/>
    </row>
    <row r="25" ht="28" customHeight="1">
      <c r="A25" s="10" t="n"/>
      <c r="B25" s="10" t="n"/>
      <c r="C25" s="22" t="n"/>
      <c r="D25" s="23" t="n"/>
      <c r="E25" s="10" t="n"/>
      <c r="F25" s="23" t="n"/>
      <c r="G25" s="10" t="n"/>
    </row>
    <row r="26" ht="28" customHeight="1">
      <c r="A26" s="10" t="n"/>
      <c r="B26" s="10" t="n"/>
      <c r="C26" s="22" t="n"/>
      <c r="D26" s="23" t="n"/>
      <c r="E26" s="10" t="n"/>
      <c r="F26" s="23" t="n"/>
      <c r="G26" s="10" t="n"/>
    </row>
    <row r="27" ht="28" customHeight="1">
      <c r="A27" s="10" t="n"/>
      <c r="B27" s="10" t="n"/>
      <c r="C27" s="22" t="n"/>
      <c r="D27" s="23" t="n"/>
      <c r="E27" s="10" t="n"/>
      <c r="F27" s="23" t="n"/>
      <c r="G27" s="10" t="n"/>
    </row>
    <row r="28" ht="28" customHeight="1">
      <c r="A28" s="10" t="n"/>
      <c r="B28" s="10" t="n"/>
      <c r="C28" s="22" t="n"/>
      <c r="D28" s="23" t="n"/>
      <c r="E28" s="10" t="n"/>
      <c r="F28" s="23" t="n"/>
      <c r="G28" s="10" t="n"/>
    </row>
    <row r="29" ht="28" customHeight="1">
      <c r="A29" s="10" t="n"/>
      <c r="B29" s="10" t="n"/>
      <c r="C29" s="22" t="n"/>
      <c r="D29" s="23" t="n"/>
      <c r="E29" s="10" t="n"/>
      <c r="F29" s="23" t="n"/>
      <c r="G29" s="10" t="n"/>
    </row>
    <row r="30" ht="28" customHeight="1">
      <c r="A30" s="10" t="n"/>
      <c r="B30" s="10" t="n"/>
      <c r="C30" s="22" t="n"/>
      <c r="D30" s="23" t="n"/>
      <c r="E30" s="10" t="n"/>
      <c r="F30" s="23" t="n"/>
      <c r="G30" s="10" t="n"/>
    </row>
    <row r="31" ht="28" customHeight="1">
      <c r="A31" s="10" t="n"/>
      <c r="B31" s="10" t="n"/>
      <c r="C31" s="22" t="n"/>
      <c r="D31" s="23" t="n"/>
      <c r="E31" s="10" t="n"/>
      <c r="F31" s="23" t="n"/>
      <c r="G31" s="10" t="n"/>
    </row>
    <row r="32" ht="28" customHeight="1">
      <c r="A32" s="10" t="n"/>
      <c r="B32" s="10" t="n"/>
      <c r="C32" s="22" t="n"/>
      <c r="D32" s="23" t="n"/>
      <c r="E32" s="10" t="n"/>
      <c r="F32" s="23" t="n"/>
      <c r="G32" s="10" t="n"/>
    </row>
    <row r="33" ht="28" customHeight="1">
      <c r="A33" s="10" t="n"/>
      <c r="B33" s="10" t="n"/>
      <c r="C33" s="22" t="n"/>
      <c r="D33" s="23" t="n"/>
      <c r="E33" s="10" t="n"/>
      <c r="F33" s="23" t="n"/>
      <c r="G33" s="10" t="n"/>
    </row>
  </sheetData>
  <mergeCells count="44">
    <mergeCell ref="B14:D14"/>
    <mergeCell ref="B23:D23"/>
    <mergeCell ref="E24:F24"/>
    <mergeCell ref="E33:F33"/>
    <mergeCell ref="B17:D17"/>
    <mergeCell ref="E23:F23"/>
    <mergeCell ref="E14:F14"/>
    <mergeCell ref="B29:D29"/>
    <mergeCell ref="E17:F17"/>
    <mergeCell ref="B28:D28"/>
    <mergeCell ref="B19:D19"/>
    <mergeCell ref="E20:F20"/>
    <mergeCell ref="E29:F29"/>
    <mergeCell ref="E19:F19"/>
    <mergeCell ref="E28:F28"/>
    <mergeCell ref="B30:D30"/>
    <mergeCell ref="B15:D15"/>
    <mergeCell ref="B24:D24"/>
    <mergeCell ref="E31:F31"/>
    <mergeCell ref="B20:D20"/>
    <mergeCell ref="B33:D33"/>
    <mergeCell ref="A1:G1"/>
    <mergeCell ref="E30:F30"/>
    <mergeCell ref="E15:F15"/>
    <mergeCell ref="B32:D32"/>
    <mergeCell ref="B26:D26"/>
    <mergeCell ref="E27:F27"/>
    <mergeCell ref="E26:F26"/>
    <mergeCell ref="B25:D25"/>
    <mergeCell ref="B16:D16"/>
    <mergeCell ref="E16:F16"/>
    <mergeCell ref="B31:D31"/>
    <mergeCell ref="E32:F32"/>
    <mergeCell ref="A3:G3"/>
    <mergeCell ref="B22:D22"/>
    <mergeCell ref="E25:F25"/>
    <mergeCell ref="A12:G12"/>
    <mergeCell ref="B18:D18"/>
    <mergeCell ref="B27:D27"/>
    <mergeCell ref="A2:G2"/>
    <mergeCell ref="E22:F22"/>
    <mergeCell ref="B21:D21"/>
    <mergeCell ref="E18:F18"/>
    <mergeCell ref="E21:F21"/>
  </mergeCells>
  <dataValidations count="1">
    <dataValidation sqref="G14:G33" showDropDown="0" showInputMessage="0" showErrorMessage="0" allowBlank="1" type="list">
      <formula1>"لم يبدأ,جارٍ,أُنجز"</formula1>
    </dataValidation>
  </dataValidation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F28"/>
  <sheetViews>
    <sheetView showGridLines="0" rightToLeft="1" zoomScale="11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34" customWidth="1" min="5" max="5"/>
    <col width="16" customWidth="1" min="6" max="6"/>
  </cols>
  <sheetData>
    <row r="1">
      <c r="A1" s="1" t="inlineStr">
        <is>
          <t>حقيبة أدوات إنوفا فورج · ٤٫٥</t>
        </is>
      </c>
    </row>
    <row r="2" ht="28" customHeight="1">
      <c r="A2" s="2" t="inlineStr">
        <is>
          <t>الموارد والمخاطر</t>
        </is>
      </c>
    </row>
    <row r="3" ht="32" customHeight="1">
      <c r="A3" s="3" t="inlineStr">
        <is>
          <t>الاحتمال والأثر من ١ إلى ٣، وتُحسب الدرجة تلقائياً. ستة فما فوق: تصرّف الآن.</t>
        </is>
      </c>
    </row>
    <row r="5" ht="30" customHeight="1">
      <c r="A5" s="8" t="inlineStr">
        <is>
          <t>المورد: أفراد، وأدوات، ومكان</t>
        </is>
      </c>
      <c r="B5" s="8" t="inlineStr">
        <is>
          <t>الكمية</t>
        </is>
      </c>
      <c r="C5" s="8" t="inlineStr">
        <is>
          <t>الكلفة</t>
        </is>
      </c>
      <c r="D5" s="8" t="inlineStr"/>
      <c r="E5" s="8" t="inlineStr"/>
      <c r="F5" s="8" t="inlineStr"/>
    </row>
    <row r="6" ht="24" customHeight="1">
      <c r="A6" s="10" t="n"/>
      <c r="B6" s="10" t="n"/>
      <c r="C6" s="10" t="n"/>
      <c r="D6" s="10" t="n"/>
      <c r="E6" s="10" t="n"/>
      <c r="F6" s="10" t="n"/>
    </row>
    <row r="7" ht="24" customHeight="1">
      <c r="A7" s="10" t="n"/>
      <c r="B7" s="10" t="n"/>
      <c r="C7" s="10" t="n"/>
      <c r="D7" s="10" t="n"/>
      <c r="E7" s="10" t="n"/>
      <c r="F7" s="10" t="n"/>
    </row>
    <row r="8" ht="24" customHeight="1">
      <c r="A8" s="10" t="n"/>
      <c r="B8" s="10" t="n"/>
      <c r="C8" s="10" t="n"/>
      <c r="D8" s="10" t="n"/>
      <c r="E8" s="10" t="n"/>
      <c r="F8" s="10" t="n"/>
    </row>
    <row r="9" ht="24" customHeight="1">
      <c r="A9" s="10" t="n"/>
      <c r="B9" s="10" t="n"/>
      <c r="C9" s="10" t="n"/>
      <c r="D9" s="10" t="n"/>
      <c r="E9" s="10" t="n"/>
      <c r="F9" s="10" t="n"/>
    </row>
    <row r="10" ht="24" customHeight="1">
      <c r="A10" s="10" t="n"/>
      <c r="B10" s="10" t="n"/>
      <c r="C10" s="10" t="n"/>
      <c r="D10" s="10" t="n"/>
      <c r="E10" s="10" t="n"/>
      <c r="F10" s="10" t="n"/>
    </row>
    <row r="11" ht="24" customHeight="1">
      <c r="A11" s="10" t="n"/>
      <c r="B11" s="10" t="n"/>
      <c r="C11" s="10" t="n"/>
      <c r="D11" s="10" t="n"/>
      <c r="E11" s="10" t="n"/>
      <c r="F11" s="10" t="n"/>
    </row>
    <row r="12" ht="24" customHeight="1">
      <c r="A12" s="10" t="n"/>
      <c r="B12" s="10" t="n"/>
      <c r="C12" s="10" t="n"/>
      <c r="D12" s="10" t="n"/>
      <c r="E12" s="10" t="n"/>
      <c r="F12" s="10" t="n"/>
    </row>
    <row r="13" ht="24" customHeight="1">
      <c r="A13" s="10" t="n"/>
      <c r="B13" s="10" t="n"/>
      <c r="C13" s="10" t="n"/>
      <c r="D13" s="10" t="n"/>
      <c r="E13" s="10" t="n"/>
      <c r="F13" s="10" t="n"/>
    </row>
    <row r="14">
      <c r="A14" s="12" t="inlineStr">
        <is>
          <t>إجمالي الميزانية</t>
        </is>
      </c>
      <c r="C14" s="24">
        <f>SUM(C6:C13)</f>
        <v/>
      </c>
    </row>
    <row r="16" ht="30" customHeight="1">
      <c r="A16" s="8" t="inlineStr">
        <is>
          <t>الخطر</t>
        </is>
      </c>
      <c r="B16" s="8" t="inlineStr">
        <is>
          <t>الاحتمال ١–٣</t>
        </is>
      </c>
      <c r="C16" s="8" t="inlineStr">
        <is>
          <t>الأثر ١–٣</t>
        </is>
      </c>
      <c r="D16" s="8" t="inlineStr">
        <is>
          <t>الدرجة</t>
        </is>
      </c>
      <c r="E16" s="8" t="inlineStr">
        <is>
          <t>الاستجابة</t>
        </is>
      </c>
      <c r="F16" s="8" t="inlineStr">
        <is>
          <t>المسؤول</t>
        </is>
      </c>
    </row>
    <row r="17" ht="30" customHeight="1">
      <c r="A17" s="10" t="n"/>
      <c r="B17" s="10" t="n"/>
      <c r="C17" s="10" t="n"/>
      <c r="D17" s="18">
        <f>IF(OR(B17="",C17=""),"",B17*C17)</f>
        <v/>
      </c>
      <c r="E17" s="10" t="n"/>
      <c r="F17" s="10" t="n"/>
    </row>
    <row r="18" ht="30" customHeight="1">
      <c r="A18" s="10" t="n"/>
      <c r="B18" s="10" t="n"/>
      <c r="C18" s="10" t="n"/>
      <c r="D18" s="18">
        <f>IF(OR(B18="",C18=""),"",B18*C18)</f>
        <v/>
      </c>
      <c r="E18" s="10" t="n"/>
      <c r="F18" s="10" t="n"/>
    </row>
    <row r="19" ht="30" customHeight="1">
      <c r="A19" s="10" t="n"/>
      <c r="B19" s="10" t="n"/>
      <c r="C19" s="10" t="n"/>
      <c r="D19" s="18">
        <f>IF(OR(B19="",C19=""),"",B19*C19)</f>
        <v/>
      </c>
      <c r="E19" s="10" t="n"/>
      <c r="F19" s="10" t="n"/>
    </row>
    <row r="20" ht="30" customHeight="1">
      <c r="A20" s="10" t="n"/>
      <c r="B20" s="10" t="n"/>
      <c r="C20" s="10" t="n"/>
      <c r="D20" s="18">
        <f>IF(OR(B20="",C20=""),"",B20*C20)</f>
        <v/>
      </c>
      <c r="E20" s="10" t="n"/>
      <c r="F20" s="10" t="n"/>
    </row>
    <row r="21" ht="30" customHeight="1">
      <c r="A21" s="10" t="n"/>
      <c r="B21" s="10" t="n"/>
      <c r="C21" s="10" t="n"/>
      <c r="D21" s="18">
        <f>IF(OR(B21="",C21=""),"",B21*C21)</f>
        <v/>
      </c>
      <c r="E21" s="10" t="n"/>
      <c r="F21" s="10" t="n"/>
    </row>
    <row r="22" ht="30" customHeight="1">
      <c r="A22" s="10" t="n"/>
      <c r="B22" s="10" t="n"/>
      <c r="C22" s="10" t="n"/>
      <c r="D22" s="18">
        <f>IF(OR(B22="",C22=""),"",B22*C22)</f>
        <v/>
      </c>
      <c r="E22" s="10" t="n"/>
      <c r="F22" s="10" t="n"/>
    </row>
    <row r="23" ht="30" customHeight="1">
      <c r="A23" s="10" t="n"/>
      <c r="B23" s="10" t="n"/>
      <c r="C23" s="10" t="n"/>
      <c r="D23" s="18">
        <f>IF(OR(B23="",C23=""),"",B23*C23)</f>
        <v/>
      </c>
      <c r="E23" s="10" t="n"/>
      <c r="F23" s="10" t="n"/>
    </row>
    <row r="24" ht="30" customHeight="1">
      <c r="A24" s="10" t="n"/>
      <c r="B24" s="10" t="n"/>
      <c r="C24" s="10" t="n"/>
      <c r="D24" s="18">
        <f>IF(OR(B24="",C24=""),"",B24*C24)</f>
        <v/>
      </c>
      <c r="E24" s="10" t="n"/>
      <c r="F24" s="10" t="n"/>
    </row>
    <row r="25" ht="30" customHeight="1">
      <c r="A25" s="10" t="n"/>
      <c r="B25" s="10" t="n"/>
      <c r="C25" s="10" t="n"/>
      <c r="D25" s="18">
        <f>IF(OR(B25="",C25=""),"",B25*C25)</f>
        <v/>
      </c>
      <c r="E25" s="10" t="n"/>
      <c r="F25" s="10" t="n"/>
    </row>
    <row r="26" ht="30" customHeight="1">
      <c r="A26" s="10" t="n"/>
      <c r="B26" s="10" t="n"/>
      <c r="C26" s="10" t="n"/>
      <c r="D26" s="18">
        <f>IF(OR(B26="",C26=""),"",B26*C26)</f>
        <v/>
      </c>
      <c r="E26" s="10" t="n"/>
      <c r="F26" s="10" t="n"/>
    </row>
    <row r="27" ht="30" customHeight="1">
      <c r="A27" s="10" t="n"/>
      <c r="B27" s="10" t="n"/>
      <c r="C27" s="10" t="n"/>
      <c r="D27" s="18">
        <f>IF(OR(B27="",C27=""),"",B27*C27)</f>
        <v/>
      </c>
      <c r="E27" s="10" t="n"/>
      <c r="F27" s="10" t="n"/>
    </row>
    <row r="28" ht="30" customHeight="1">
      <c r="A28" s="10" t="n"/>
      <c r="B28" s="10" t="n"/>
      <c r="C28" s="10" t="n"/>
      <c r="D28" s="18">
        <f>IF(OR(B28="",C28=""),"",B28*C28)</f>
        <v/>
      </c>
      <c r="E28" s="10" t="n"/>
      <c r="F28" s="10" t="n"/>
    </row>
  </sheetData>
  <mergeCells count="3">
    <mergeCell ref="A3:F3"/>
    <mergeCell ref="A2:F2"/>
    <mergeCell ref="A1:F1"/>
  </mergeCells>
  <conditionalFormatting sqref="D17:D28">
    <cfRule type="cellIs" priority="1" operator="greaterThanOrEqual" dxfId="2">
      <formula>6</formula>
    </cfRule>
    <cfRule type="cellIs" priority="2" operator="between" dxfId="3">
      <formula>3</formula>
      <formula>4</formula>
    </cfRule>
    <cfRule type="cellIs" priority="3" operator="between" dxfId="4">
      <formula>1</formula>
      <formula>2</formula>
    </cfRule>
  </conditionalFormatting>
  <dataValidations count="1">
    <dataValidation sqref="B17:C28" showDropDown="0" showInputMessage="0" showErrorMessage="0" allowBlank="1" error="أدخل عدداً صحيحاً من 1 إلى 3." type="whole" operator="between">
      <formula1>1</formula1>
      <formula2>3</formula2>
    </dataValidation>
  </dataValidation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22"/>
  <sheetViews>
    <sheetView showGridLines="0" rightToLeft="1" zoomScale="11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20" customWidth="1" min="3" max="3"/>
  </cols>
  <sheetData>
    <row r="1">
      <c r="A1" s="1" t="inlineStr">
        <is>
          <t>حقيبة أدوات إنوفا فورج · ٥٫١</t>
        </is>
      </c>
    </row>
    <row r="2" ht="28" customHeight="1">
      <c r="A2" s="2" t="inlineStr">
        <is>
          <t>قائمة الإطلاق</t>
        </is>
      </c>
    </row>
    <row r="3" ht="32" customHeight="1">
      <c r="A3" s="3" t="inlineStr">
        <is>
          <t>لا يُطلَق شيء حتى تكون كل خانة «نعم» أو يُتنازل عنها عن وعي.</t>
        </is>
      </c>
    </row>
    <row r="5" ht="20" customHeight="1">
      <c r="A5" s="6" t="inlineStr">
        <is>
          <t>نوع الإطلاق: كامل، أو تدريجي (مَن يحصل عليه، ومن متى، ونستمر إذا…)</t>
        </is>
      </c>
    </row>
    <row r="6" ht="50" customHeight="1">
      <c r="A6" s="15" t="n"/>
      <c r="B6" s="16" t="n"/>
      <c r="C6" s="16" t="n"/>
    </row>
    <row r="8" ht="30" customHeight="1">
      <c r="A8" s="8" t="inlineStr">
        <is>
          <t>البند</t>
        </is>
      </c>
      <c r="B8" s="8" t="inlineStr">
        <is>
          <t>أُنجز</t>
        </is>
      </c>
      <c r="C8" s="8" t="inlineStr">
        <is>
          <t>المسؤول</t>
        </is>
      </c>
    </row>
    <row r="9" ht="24" customHeight="1">
      <c r="A9" s="14" t="inlineStr">
        <is>
          <t>للنتائج الرئيسية من النحت خط أساس.</t>
        </is>
      </c>
      <c r="B9" s="10" t="n"/>
      <c r="C9" s="10" t="n"/>
    </row>
    <row r="10" ht="24" customHeight="1">
      <c r="A10" s="14" t="inlineStr">
        <is>
          <t>المتابعة تعمل، وللوحة المؤشرات مسؤول.</t>
        </is>
      </c>
      <c r="B10" s="10" t="n"/>
      <c r="C10" s="10" t="n"/>
    </row>
    <row r="11" ht="24" customHeight="1">
      <c r="A11" s="14" t="inlineStr">
        <is>
          <t>للمستخدمين قناة للملاحظات، وثمة من يقرؤها.</t>
        </is>
      </c>
      <c r="B11" s="10" t="n"/>
      <c r="C11" s="10" t="n"/>
    </row>
    <row r="12" ht="24" customHeight="1">
      <c r="A12" s="14" t="inlineStr">
        <is>
          <t>يعرف فريق الدعم ما القادم وكيف يجيب.</t>
        </is>
      </c>
      <c r="B12" s="10" t="n"/>
      <c r="C12" s="10" t="n"/>
    </row>
    <row r="13" ht="24" customHeight="1">
      <c r="A13" s="14" t="inlineStr">
        <is>
          <t>ثمة طريق للرجوع إن تعطّل شيء.</t>
        </is>
      </c>
      <c r="B13" s="10" t="n"/>
      <c r="C13" s="10" t="n"/>
    </row>
    <row r="14" ht="24" customHeight="1">
      <c r="A14" s="14" t="inlineStr">
        <is>
          <t>ثمة مناوب في الأيام الأولى.</t>
        </is>
      </c>
      <c r="B14" s="10" t="n"/>
      <c r="C14" s="10" t="n"/>
    </row>
    <row r="15" ht="24" customHeight="1">
      <c r="A15" s="14" t="inlineStr">
        <is>
          <t>وافقت الجهات القانونية والخصوصية والأمن.</t>
        </is>
      </c>
      <c r="B15" s="10" t="n"/>
      <c r="C15" s="10" t="n"/>
    </row>
    <row r="16" ht="24" customHeight="1">
      <c r="A16" s="14" t="inlineStr">
        <is>
          <t>أُبلغ أصحاب المصلحة والمستخدمون.</t>
        </is>
      </c>
      <c r="B16" s="10" t="n"/>
      <c r="C16" s="10" t="n"/>
    </row>
    <row r="17" ht="24" customHeight="1">
      <c r="A17" s="14" t="inlineStr">
        <is>
          <t>حُجز موعد المراجعة اللاحقة بعد أسبوعين إلى أربعة.</t>
        </is>
      </c>
      <c r="B17" s="10" t="n"/>
      <c r="C17" s="10" t="n"/>
    </row>
    <row r="18" ht="24" customHeight="1">
      <c r="A18" s="14" t="inlineStr">
        <is>
          <t>اللوحة محدّثة.</t>
        </is>
      </c>
      <c r="B18" s="10" t="n"/>
      <c r="C18" s="10" t="n"/>
    </row>
    <row r="19" ht="24" customHeight="1">
      <c r="A19" s="14" t="inlineStr"/>
      <c r="B19" s="10" t="n"/>
      <c r="C19" s="10" t="n"/>
    </row>
    <row r="20" ht="24" customHeight="1">
      <c r="A20" s="14" t="inlineStr"/>
      <c r="B20" s="10" t="n"/>
      <c r="C20" s="10" t="n"/>
    </row>
    <row r="21" ht="24" customHeight="1">
      <c r="A21" s="14" t="inlineStr"/>
      <c r="B21" s="10" t="n"/>
      <c r="C21" s="10" t="n"/>
    </row>
    <row r="22">
      <c r="A22" s="12" t="inlineStr">
        <is>
          <t>الجاهزية</t>
        </is>
      </c>
      <c r="B22" s="24">
        <f>COUNTIF(B9:B21,"نعم")+COUNTIF(B9:B21,"تُنوزل عنه")&amp;" / "&amp;COUNTA(A9:A21)</f>
        <v/>
      </c>
    </row>
  </sheetData>
  <mergeCells count="5">
    <mergeCell ref="A1:C1"/>
    <mergeCell ref="A5:C5"/>
    <mergeCell ref="A6:C6"/>
    <mergeCell ref="A3:C3"/>
    <mergeCell ref="A2:C2"/>
  </mergeCells>
  <dataValidations count="1">
    <dataValidation sqref="B9:B21" showDropDown="0" showInputMessage="0" showErrorMessage="0" allowBlank="1" type="list">
      <formula1>"نعم,تُنوزل عنه,ليس بعد"</formula1>
    </dataValidation>
  </dataValidation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H18"/>
  <sheetViews>
    <sheetView showGridLines="0" rightToLeft="1" zoomScale="11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حقيبة أدوات إنوفا فورج · ٥٫٢</t>
        </is>
      </c>
    </row>
    <row r="2" ht="28" customHeight="1">
      <c r="A2" s="2" t="inlineStr">
        <is>
          <t>متابعة الأثر</t>
        </is>
      </c>
    </row>
    <row r="3" ht="32" customHeight="1">
      <c r="A3" s="3" t="inlineStr">
        <is>
          <t>تابع النتائج الرئيسية ومؤشرات الأداء من النحت منذ اليوم الأول، واقرأ الاتجاه لا رقماً منفرداً.</t>
        </is>
      </c>
    </row>
    <row r="5" ht="30" customHeight="1">
      <c r="A5" s="8" t="inlineStr">
        <is>
          <t>النتيجة الرئيسية أو المؤشر</t>
        </is>
      </c>
      <c r="B5" s="8" t="inlineStr">
        <is>
          <t>الأساس</t>
        </is>
      </c>
      <c r="C5" s="8" t="inlineStr">
        <is>
          <t>المستهدف</t>
        </is>
      </c>
      <c r="D5" s="8" t="inlineStr">
        <is>
          <t>الأسبوع ١</t>
        </is>
      </c>
      <c r="E5" s="8" t="inlineStr">
        <is>
          <t>الأسبوع ٢</t>
        </is>
      </c>
      <c r="F5" s="8" t="inlineStr">
        <is>
          <t>الأسبوع ٤</t>
        </is>
      </c>
      <c r="G5" s="8" t="inlineStr">
        <is>
          <t>التقدّم</t>
        </is>
      </c>
      <c r="H5" s="8" t="inlineStr">
        <is>
          <t>الاتجاه</t>
        </is>
      </c>
    </row>
    <row r="6" ht="26" customHeight="1">
      <c r="A6" s="10" t="n"/>
      <c r="B6" s="10" t="n"/>
      <c r="C6" s="10" t="n"/>
      <c r="D6" s="10" t="n"/>
      <c r="E6" s="10" t="n"/>
      <c r="F6" s="10" t="n"/>
      <c r="G6" s="19">
        <f>IF(OR(B6="",C6="",C6=B6,COUNT(D6:F6)=0),"",(IF(F6&lt;&gt;"",F6,IF(E6&lt;&gt;"",E6,D6))-B6)/(C6-B6))</f>
        <v/>
      </c>
      <c r="H6" s="18">
        <f>IF(COUNT(D6:F6)&lt;2,"",IF(IF(F6&lt;&gt;"",F6,E6)&gt;D6,"▲",IF(IF(F6&lt;&gt;"",F6,E6)&lt;D6,"▼","▬")))</f>
        <v/>
      </c>
    </row>
    <row r="7" ht="26" customHeight="1">
      <c r="A7" s="10" t="n"/>
      <c r="B7" s="10" t="n"/>
      <c r="C7" s="10" t="n"/>
      <c r="D7" s="10" t="n"/>
      <c r="E7" s="10" t="n"/>
      <c r="F7" s="10" t="n"/>
      <c r="G7" s="19">
        <f>IF(OR(B7="",C7="",C7=B7,COUNT(D7:F7)=0),"",(IF(F7&lt;&gt;"",F7,IF(E7&lt;&gt;"",E7,D7))-B7)/(C7-B7))</f>
        <v/>
      </c>
      <c r="H7" s="18">
        <f>IF(COUNT(D7:F7)&lt;2,"",IF(IF(F7&lt;&gt;"",F7,E7)&gt;D7,"▲",IF(IF(F7&lt;&gt;"",F7,E7)&lt;D7,"▼","▬")))</f>
        <v/>
      </c>
    </row>
    <row r="8" ht="26" customHeight="1">
      <c r="A8" s="10" t="n"/>
      <c r="B8" s="10" t="n"/>
      <c r="C8" s="10" t="n"/>
      <c r="D8" s="10" t="n"/>
      <c r="E8" s="10" t="n"/>
      <c r="F8" s="10" t="n"/>
      <c r="G8" s="19">
        <f>IF(OR(B8="",C8="",C8=B8,COUNT(D8:F8)=0),"",(IF(F8&lt;&gt;"",F8,IF(E8&lt;&gt;"",E8,D8))-B8)/(C8-B8))</f>
        <v/>
      </c>
      <c r="H8" s="18">
        <f>IF(COUNT(D8:F8)&lt;2,"",IF(IF(F8&lt;&gt;"",F8,E8)&gt;D8,"▲",IF(IF(F8&lt;&gt;"",F8,E8)&lt;D8,"▼","▬")))</f>
        <v/>
      </c>
    </row>
    <row r="9" ht="26" customHeight="1">
      <c r="A9" s="10" t="n"/>
      <c r="B9" s="10" t="n"/>
      <c r="C9" s="10" t="n"/>
      <c r="D9" s="10" t="n"/>
      <c r="E9" s="10" t="n"/>
      <c r="F9" s="10" t="n"/>
      <c r="G9" s="19">
        <f>IF(OR(B9="",C9="",C9=B9,COUNT(D9:F9)=0),"",(IF(F9&lt;&gt;"",F9,IF(E9&lt;&gt;"",E9,D9))-B9)/(C9-B9))</f>
        <v/>
      </c>
      <c r="H9" s="18">
        <f>IF(COUNT(D9:F9)&lt;2,"",IF(IF(F9&lt;&gt;"",F9,E9)&gt;D9,"▲",IF(IF(F9&lt;&gt;"",F9,E9)&lt;D9,"▼","▬")))</f>
        <v/>
      </c>
    </row>
    <row r="10" ht="26" customHeight="1">
      <c r="A10" s="10" t="n"/>
      <c r="B10" s="10" t="n"/>
      <c r="C10" s="10" t="n"/>
      <c r="D10" s="10" t="n"/>
      <c r="E10" s="10" t="n"/>
      <c r="F10" s="10" t="n"/>
      <c r="G10" s="19">
        <f>IF(OR(B10="",C10="",C10=B10,COUNT(D10:F10)=0),"",(IF(F10&lt;&gt;"",F10,IF(E10&lt;&gt;"",E10,D10))-B10)/(C10-B10))</f>
        <v/>
      </c>
      <c r="H10" s="18">
        <f>IF(COUNT(D10:F10)&lt;2,"",IF(IF(F10&lt;&gt;"",F10,E10)&gt;D10,"▲",IF(IF(F10&lt;&gt;"",F10,E10)&lt;D10,"▼","▬")))</f>
        <v/>
      </c>
    </row>
    <row r="11" ht="26" customHeight="1">
      <c r="A11" s="10" t="n"/>
      <c r="B11" s="10" t="n"/>
      <c r="C11" s="10" t="n"/>
      <c r="D11" s="10" t="n"/>
      <c r="E11" s="10" t="n"/>
      <c r="F11" s="10" t="n"/>
      <c r="G11" s="19">
        <f>IF(OR(B11="",C11="",C11=B11,COUNT(D11:F11)=0),"",(IF(F11&lt;&gt;"",F11,IF(E11&lt;&gt;"",E11,D11))-B11)/(C11-B11))</f>
        <v/>
      </c>
      <c r="H11" s="18">
        <f>IF(COUNT(D11:F11)&lt;2,"",IF(IF(F11&lt;&gt;"",F11,E11)&gt;D11,"▲",IF(IF(F11&lt;&gt;"",F11,E11)&lt;D11,"▼","▬")))</f>
        <v/>
      </c>
    </row>
    <row r="12" ht="26" customHeight="1">
      <c r="A12" s="10" t="n"/>
      <c r="B12" s="10" t="n"/>
      <c r="C12" s="10" t="n"/>
      <c r="D12" s="10" t="n"/>
      <c r="E12" s="10" t="n"/>
      <c r="F12" s="10" t="n"/>
      <c r="G12" s="19">
        <f>IF(OR(B12="",C12="",C12=B12,COUNT(D12:F12)=0),"",(IF(F12&lt;&gt;"",F12,IF(E12&lt;&gt;"",E12,D12))-B12)/(C12-B12))</f>
        <v/>
      </c>
      <c r="H12" s="18">
        <f>IF(COUNT(D12:F12)&lt;2,"",IF(IF(F12&lt;&gt;"",F12,E12)&gt;D12,"▲",IF(IF(F12&lt;&gt;"",F12,E12)&lt;D12,"▼","▬")))</f>
        <v/>
      </c>
    </row>
    <row r="13" ht="26" customHeight="1">
      <c r="A13" s="10" t="n"/>
      <c r="B13" s="10" t="n"/>
      <c r="C13" s="10" t="n"/>
      <c r="D13" s="10" t="n"/>
      <c r="E13" s="10" t="n"/>
      <c r="F13" s="10" t="n"/>
      <c r="G13" s="19">
        <f>IF(OR(B13="",C13="",C13=B13,COUNT(D13:F13)=0),"",(IF(F13&lt;&gt;"",F13,IF(E13&lt;&gt;"",E13,D13))-B13)/(C13-B13))</f>
        <v/>
      </c>
      <c r="H13" s="18">
        <f>IF(COUNT(D13:F13)&lt;2,"",IF(IF(F13&lt;&gt;"",F13,E13)&gt;D13,"▲",IF(IF(F13&lt;&gt;"",F13,E13)&lt;D13,"▼","▬")))</f>
        <v/>
      </c>
    </row>
    <row r="14" ht="26" customHeight="1">
      <c r="A14" s="10" t="n"/>
      <c r="B14" s="10" t="n"/>
      <c r="C14" s="10" t="n"/>
      <c r="D14" s="10" t="n"/>
      <c r="E14" s="10" t="n"/>
      <c r="F14" s="10" t="n"/>
      <c r="G14" s="19">
        <f>IF(OR(B14="",C14="",C14=B14,COUNT(D14:F14)=0),"",(IF(F14&lt;&gt;"",F14,IF(E14&lt;&gt;"",E14,D14))-B14)/(C14-B14))</f>
        <v/>
      </c>
      <c r="H14" s="18">
        <f>IF(COUNT(D14:F14)&lt;2,"",IF(IF(F14&lt;&gt;"",F14,E14)&gt;D14,"▲",IF(IF(F14&lt;&gt;"",F14,E14)&lt;D14,"▼","▬")))</f>
        <v/>
      </c>
    </row>
    <row r="15" ht="26" customHeight="1">
      <c r="A15" s="10" t="n"/>
      <c r="B15" s="10" t="n"/>
      <c r="C15" s="10" t="n"/>
      <c r="D15" s="10" t="n"/>
      <c r="E15" s="10" t="n"/>
      <c r="F15" s="10" t="n"/>
      <c r="G15" s="19">
        <f>IF(OR(B15="",C15="",C15=B15,COUNT(D15:F15)=0),"",(IF(F15&lt;&gt;"",F15,IF(E15&lt;&gt;"",E15,D15))-B15)/(C15-B15))</f>
        <v/>
      </c>
      <c r="H15" s="18">
        <f>IF(COUNT(D15:F15)&lt;2,"",IF(IF(F15&lt;&gt;"",F15,E15)&gt;D15,"▲",IF(IF(F15&lt;&gt;"",F15,E15)&lt;D15,"▼","▬")))</f>
        <v/>
      </c>
    </row>
    <row r="17" ht="20" customHeight="1">
      <c r="A17" s="6" t="inlineStr">
        <is>
          <t>ما تقوله الأرقام</t>
        </is>
      </c>
    </row>
    <row r="18" ht="60" customHeight="1">
      <c r="A18" s="15" t="n"/>
      <c r="B18" s="16" t="n"/>
      <c r="C18" s="16" t="n"/>
      <c r="D18" s="16" t="n"/>
      <c r="E18" s="16" t="n"/>
      <c r="F18" s="16" t="n"/>
      <c r="G18" s="16" t="n"/>
      <c r="H18" s="16" t="n"/>
    </row>
  </sheetData>
  <mergeCells count="5">
    <mergeCell ref="A18:H18"/>
    <mergeCell ref="A3:H3"/>
    <mergeCell ref="A2:H2"/>
    <mergeCell ref="A1:H1"/>
    <mergeCell ref="A17:H17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17"/>
  <sheetViews>
    <sheetView showGridLines="0" rightToLeft="1" zoomScale="11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حقيبة أدوات إنوفا فورج · ٥٫٣</t>
        </is>
      </c>
    </row>
    <row r="2" ht="28" customHeight="1">
      <c r="A2" s="2" t="inlineStr">
        <is>
          <t>المراجعة اللاحقة</t>
        </is>
      </c>
    </row>
    <row r="3" ht="32" customHeight="1">
      <c r="A3" s="3" t="inlineStr">
        <is>
          <t>بعد أسبوعين إلى أربعة أسابيع من الإطلاق، مع الفريق كله.</t>
        </is>
      </c>
    </row>
    <row r="5" ht="30" customHeight="1">
      <c r="A5" s="8" t="inlineStr">
        <is>
          <t>ما الذي نجح</t>
        </is>
      </c>
      <c r="B5" s="8" t="inlineStr">
        <is>
          <t>ما الذي لم ينجح</t>
        </is>
      </c>
      <c r="C5" s="8" t="inlineStr">
        <is>
          <t>ماذا تعلّمنا</t>
        </is>
      </c>
    </row>
    <row r="6" ht="200" customHeight="1">
      <c r="A6" s="10" t="n"/>
      <c r="B6" s="10" t="n"/>
      <c r="C6" s="10" t="n"/>
    </row>
    <row r="8" ht="20" customHeight="1">
      <c r="A8" s="6" t="inlineStr">
        <is>
          <t>الإجراءات</t>
        </is>
      </c>
    </row>
    <row r="9" ht="30" customHeight="1">
      <c r="A9" s="8" t="inlineStr">
        <is>
          <t>الإجراء</t>
        </is>
      </c>
      <c r="B9" s="8" t="inlineStr">
        <is>
          <t>المسؤول</t>
        </is>
      </c>
      <c r="C9" s="8" t="inlineStr">
        <is>
          <t>الموعد</t>
        </is>
      </c>
    </row>
    <row r="10" ht="26" customHeight="1">
      <c r="A10" s="10" t="n"/>
      <c r="B10" s="10" t="n"/>
      <c r="C10" s="10" t="n"/>
    </row>
    <row r="11" ht="26" customHeight="1">
      <c r="A11" s="10" t="n"/>
      <c r="B11" s="10" t="n"/>
      <c r="C11" s="10" t="n"/>
    </row>
    <row r="12" ht="26" customHeight="1">
      <c r="A12" s="10" t="n"/>
      <c r="B12" s="10" t="n"/>
      <c r="C12" s="10" t="n"/>
    </row>
    <row r="13" ht="26" customHeight="1">
      <c r="A13" s="10" t="n"/>
      <c r="B13" s="10" t="n"/>
      <c r="C13" s="10" t="n"/>
    </row>
    <row r="14" ht="26" customHeight="1">
      <c r="A14" s="10" t="n"/>
      <c r="B14" s="10" t="n"/>
      <c r="C14" s="10" t="n"/>
    </row>
    <row r="15" ht="26" customHeight="1">
      <c r="A15" s="10" t="n"/>
      <c r="B15" s="10" t="n"/>
      <c r="C15" s="10" t="n"/>
    </row>
    <row r="16" ht="26" customHeight="1">
      <c r="A16" s="10" t="n"/>
      <c r="B16" s="10" t="n"/>
      <c r="C16" s="10" t="n"/>
    </row>
    <row r="17" ht="26" customHeight="1">
      <c r="A17" s="10" t="n"/>
      <c r="B17" s="10" t="n"/>
      <c r="C17" s="10" t="n"/>
    </row>
  </sheetData>
  <mergeCells count="4">
    <mergeCell ref="A1:C1"/>
    <mergeCell ref="A8:C8"/>
    <mergeCell ref="A3:C3"/>
    <mergeCell ref="A2:C2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21"/>
  <sheetViews>
    <sheetView showGridLines="0" rightToLeft="1" zoomScale="110"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حقيبة أدوات إنوفا فورج · ٥٫٤</t>
        </is>
      </c>
    </row>
    <row r="2" ht="28" customHeight="1">
      <c r="A2" s="2" t="inlineStr">
        <is>
          <t>القرار</t>
        </is>
      </c>
    </row>
    <row r="3" ht="32" customHeight="1">
      <c r="A3" s="3" t="inlineStr">
        <is>
          <t>قرّر بناءً على البيانات، ثم سلّم الإشعال التالي ما وجدته هذه الدورة.</t>
        </is>
      </c>
    </row>
    <row r="5" ht="20" customHeight="1">
      <c r="A5" s="6" t="inlineStr">
        <is>
          <t>القرار</t>
        </is>
      </c>
    </row>
    <row r="6">
      <c r="A6" s="13" t="n"/>
      <c r="B6" s="25" t="inlineStr">
        <is>
          <t>اختر: التكرار أو التوسّع أو الإيقاف</t>
        </is>
      </c>
    </row>
    <row r="8" ht="20" customHeight="1">
      <c r="A8" s="6" t="inlineStr">
        <is>
          <t>الدليل وراء القرار</t>
        </is>
      </c>
    </row>
    <row r="9" ht="70" customHeight="1">
      <c r="A9" s="15" t="n"/>
      <c r="B9" s="16" t="n"/>
    </row>
    <row r="11" ht="20" customHeight="1">
      <c r="A11" s="6" t="inlineStr">
        <is>
          <t>ما يحتاجه التوسّع أو التكرار أو الإغلاق</t>
        </is>
      </c>
    </row>
    <row r="12" ht="50" customHeight="1">
      <c r="A12" s="15" t="n"/>
      <c r="B12" s="16" t="n"/>
    </row>
    <row r="14" ht="20" customHeight="1">
      <c r="A14" s="6" t="inlineStr">
        <is>
          <t>بذور الإشعال التالي: مشكلات كشفتها هذه الدورة</t>
        </is>
      </c>
    </row>
    <row r="15" ht="50" customHeight="1">
      <c r="A15" s="15" t="n"/>
      <c r="B15" s="16" t="n"/>
    </row>
    <row r="17" ht="20" customHeight="1">
      <c r="A17" s="6" t="inlineStr">
        <is>
          <t>أفكار أرجأناها</t>
        </is>
      </c>
    </row>
    <row r="18" ht="50" customHeight="1">
      <c r="A18" s="15" t="n"/>
      <c r="B18" s="16" t="n"/>
    </row>
    <row r="20" ht="20" customHeight="1">
      <c r="A20" s="6" t="inlineStr">
        <is>
          <t>ما سنفعله على نحو مختلف</t>
        </is>
      </c>
    </row>
    <row r="21" ht="50" customHeight="1">
      <c r="A21" s="15" t="n"/>
      <c r="B21" s="16" t="n"/>
    </row>
  </sheetData>
  <mergeCells count="14">
    <mergeCell ref="A20:B20"/>
    <mergeCell ref="A21:B21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12:B12"/>
  </mergeCells>
  <dataValidations count="1">
    <dataValidation sqref="A6" showDropDown="0" showInputMessage="0" showErrorMessage="0" allowBlank="1" type="list">
      <formula1>"التكرار,التوسّع,الإيقاف"</formula1>
    </dataValidation>
  </dataValidation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48"/>
  <sheetViews>
    <sheetView showGridLines="0" rightToLeft="1" zoomScale="11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30" customWidth="1" min="3" max="3"/>
  </cols>
  <sheetData>
    <row r="1">
      <c r="A1" s="1" t="inlineStr">
        <is>
          <t>حقيبة أدوات إنوفا فورج · ✓</t>
        </is>
      </c>
    </row>
    <row r="2" ht="28" customHeight="1">
      <c r="A2" s="2" t="inlineStr">
        <is>
          <t>البوابات</t>
        </is>
      </c>
    </row>
    <row r="3" ht="32" customHeight="1">
      <c r="A3" s="3" t="inlineStr">
        <is>
          <t>لا تُغلق المرحلة إلا حين تكون معاييرها كلها «نعم».</t>
        </is>
      </c>
    </row>
    <row r="5" ht="20" customHeight="1">
      <c r="A5" s="6" t="inlineStr">
        <is>
          <t>المرحلة ١ · الإشعال</t>
        </is>
      </c>
    </row>
    <row r="6" ht="30" customHeight="1">
      <c r="A6" s="8" t="inlineStr">
        <is>
          <t>المعيار</t>
        </is>
      </c>
      <c r="B6" s="8" t="inlineStr">
        <is>
          <t>تحقق؟</t>
        </is>
      </c>
      <c r="C6" s="8" t="inlineStr">
        <is>
          <t>الدليل</t>
        </is>
      </c>
    </row>
    <row r="7" ht="30" customHeight="1">
      <c r="A7" s="14" t="inlineStr">
        <is>
          <t>نظرنا تحت القضية السطحية ودوّنّا سبباً جذرياً لا عَرَضاً.</t>
        </is>
      </c>
      <c r="B7" s="10" t="n"/>
      <c r="C7" s="10" t="n"/>
    </row>
    <row r="8" ht="30" customHeight="1">
      <c r="A8" s="14" t="inlineStr">
        <is>
          <t>جاء الإلهام من ثلاثة أنواع من المصادر على الأقل، أحدها مجال بعيد.</t>
        </is>
      </c>
      <c r="B8" s="10" t="n"/>
      <c r="C8" s="10" t="n"/>
    </row>
    <row r="9" ht="30" customHeight="1">
      <c r="A9" s="14" t="inlineStr">
        <is>
          <t>عصفنا ذهنياً دون أحكام، واحتفظنا بكل فكرة في الرصيد.</t>
        </is>
      </c>
      <c r="B9" s="10" t="n"/>
      <c r="C9" s="10" t="n"/>
    </row>
    <row r="10" ht="30" customHeight="1">
      <c r="A10" s="14" t="inlineStr">
        <is>
          <t>رُتّبت مشكلة إلى ثلاث مشكلات أو فرص بحسب الأولوية.</t>
        </is>
      </c>
      <c r="B10" s="10" t="n"/>
      <c r="C10" s="10" t="n"/>
    </row>
    <row r="11" ht="30" customHeight="1">
      <c r="A11" s="14" t="inlineStr">
        <is>
          <t>مُلئت خانات الإشعال الثلاث في اللوحة.</t>
        </is>
      </c>
      <c r="B11" s="10" t="n"/>
      <c r="C11" s="10" t="n"/>
    </row>
    <row r="12">
      <c r="A12" s="12" t="inlineStr">
        <is>
          <t>البوابة</t>
        </is>
      </c>
      <c r="B12" s="24">
        <f>IF(COUNTIF(B7:B11,"نعم")=5,"مُغلقة: انتقل","مفتوحة "&amp;COUNTIF(B7:B11,"نعم")&amp;"/5")</f>
        <v/>
      </c>
    </row>
    <row r="14" ht="20" customHeight="1">
      <c r="A14" s="6" t="inlineStr">
        <is>
          <t>المرحلة ٢ · التشكيل</t>
        </is>
      </c>
    </row>
    <row r="15" ht="30" customHeight="1">
      <c r="A15" s="8" t="inlineStr">
        <is>
          <t>المعيار</t>
        </is>
      </c>
      <c r="B15" s="8" t="inlineStr">
        <is>
          <t>تحقق؟</t>
        </is>
      </c>
      <c r="C15" s="8" t="inlineStr">
        <is>
          <t>الدليل</t>
        </is>
      </c>
    </row>
    <row r="16" ht="30" customHeight="1">
      <c r="A16" s="14" t="inlineStr">
        <is>
          <t>يسمّي بيان المفهوم غايته وجمهوره وخصائصه.</t>
        </is>
      </c>
      <c r="B16" s="10" t="n"/>
      <c r="C16" s="10" t="n"/>
    </row>
    <row r="17" ht="30" customHeight="1">
      <c r="A17" s="14" t="inlineStr">
        <is>
          <t>يتّسع عرض القيمة لجملة واحدة يفهمها من هو خارج الفريق.</t>
        </is>
      </c>
      <c r="B17" s="10" t="n"/>
      <c r="C17" s="10" t="n"/>
    </row>
    <row r="18" ht="30" customHeight="1">
      <c r="A18" s="14" t="inlineStr">
        <is>
          <t>اكتملت اللوحة الرشيقة، ووُسمت أخطر خاناتها.</t>
        </is>
      </c>
      <c r="B18" s="10" t="n"/>
      <c r="C18" s="10" t="n"/>
    </row>
    <row r="19" ht="30" customHeight="1">
      <c r="A19" s="14" t="inlineStr">
        <is>
          <t>يوجد نموذج أولي مبسّط: رسم، أو مخطط هيكلي، أو بيان صحفي مستقبلي.</t>
        </is>
      </c>
      <c r="B19" s="10" t="n"/>
      <c r="C19" s="10" t="n"/>
    </row>
    <row r="20" ht="30" customHeight="1">
      <c r="A20" s="14" t="inlineStr">
        <is>
          <t>مُلئت خانات التشكيل الثلاث في اللوحة.</t>
        </is>
      </c>
      <c r="B20" s="10" t="n"/>
      <c r="C20" s="10" t="n"/>
    </row>
    <row r="21">
      <c r="A21" s="12" t="inlineStr">
        <is>
          <t>البوابة</t>
        </is>
      </c>
      <c r="B21" s="24">
        <f>IF(COUNTIF(B16:B20,"نعم")=5,"مُغلقة: انتقل","مفتوحة "&amp;COUNTIF(B16:B20,"نعم")&amp;"/5")</f>
        <v/>
      </c>
    </row>
    <row r="23" ht="20" customHeight="1">
      <c r="A23" s="6" t="inlineStr">
        <is>
          <t>المرحلة ٣ · التطويع</t>
        </is>
      </c>
    </row>
    <row r="24" ht="30" customHeight="1">
      <c r="A24" s="8" t="inlineStr">
        <is>
          <t>المعيار</t>
        </is>
      </c>
      <c r="B24" s="8" t="inlineStr">
        <is>
          <t>تحقق؟</t>
        </is>
      </c>
      <c r="C24" s="8" t="inlineStr">
        <is>
          <t>الدليل</t>
        </is>
      </c>
    </row>
    <row r="25" ht="30" customHeight="1">
      <c r="A25" s="14" t="inlineStr">
        <is>
          <t>سُمّيت أخطر الافتراضات قبل بناء أي شيء.</t>
        </is>
      </c>
      <c r="B25" s="10" t="n"/>
      <c r="C25" s="10" t="n"/>
    </row>
    <row r="26" ht="30" customHeight="1">
      <c r="A26" s="14" t="inlineStr">
        <is>
          <t>كُتبت لكل اختبار علامة نجاح قبل إجرائه.</t>
        </is>
      </c>
      <c r="B26" s="10" t="n"/>
      <c r="C26" s="10" t="n"/>
    </row>
    <row r="27" ht="30" customHeight="1">
      <c r="A27" s="14" t="inlineStr">
        <is>
          <t>شارك خمسة إلى عشرة مستخدمين حقيقيين في كل دورة.</t>
        </is>
      </c>
      <c r="B27" s="10" t="n"/>
      <c r="C27" s="10" t="n"/>
    </row>
    <row r="28" ht="30" customHeight="1">
      <c r="A28" s="14" t="inlineStr">
        <is>
          <t>وُسم كل افتراض جوهري بأنه مُتحقَّق منه أو مدحوض، مع دليله.</t>
        </is>
      </c>
      <c r="B28" s="10" t="n"/>
      <c r="C28" s="10" t="n"/>
    </row>
    <row r="29" ht="30" customHeight="1">
      <c r="A29" s="14" t="inlineStr">
        <is>
          <t>وُثّقت الدروس والتحوّلات، ومُلئت خانات التطويع الثلاث في اللوحة.</t>
        </is>
      </c>
      <c r="B29" s="10" t="n"/>
      <c r="C29" s="10" t="n"/>
    </row>
    <row r="30">
      <c r="A30" s="12" t="inlineStr">
        <is>
          <t>البوابة</t>
        </is>
      </c>
      <c r="B30" s="24">
        <f>IF(COUNTIF(B25:B29,"نعم")=5,"مُغلقة: انتقل","مفتوحة "&amp;COUNTIF(B25:B29,"نعم")&amp;"/5")</f>
        <v/>
      </c>
    </row>
    <row r="32" ht="20" customHeight="1">
      <c r="A32" s="6" t="inlineStr">
        <is>
          <t>المرحلة ٤ · النحت</t>
        </is>
      </c>
    </row>
    <row r="33" ht="30" customHeight="1">
      <c r="A33" s="8" t="inlineStr">
        <is>
          <t>المعيار</t>
        </is>
      </c>
      <c r="B33" s="8" t="inlineStr">
        <is>
          <t>تحقق؟</t>
        </is>
      </c>
      <c r="C33" s="8" t="inlineStr">
        <is>
          <t>الدليل</t>
        </is>
      </c>
    </row>
    <row r="34" ht="30" customHeight="1">
      <c r="A34" s="14" t="inlineStr">
        <is>
          <t>رُبط الحل كتابةً بسطر من الرسالة أو الاستراتيجية.</t>
        </is>
      </c>
      <c r="B34" s="10" t="n"/>
      <c r="C34" s="10" t="n"/>
    </row>
    <row r="35" ht="30" customHeight="1">
      <c r="A35" s="14" t="inlineStr">
        <is>
          <t>لكل هدف نتائج رئيسية قابلة للقياس، بخط أساس وقيمة مستهدفة.</t>
        </is>
      </c>
      <c r="B35" s="10" t="n"/>
      <c r="C35" s="10" t="n"/>
    </row>
    <row r="36" ht="30" customHeight="1">
      <c r="A36" s="14" t="inlineStr">
        <is>
          <t>تغطي خارطة الطريق من ثلاثة إلى ستة أشهر، مقسّمة إلى دورات عمل وقصص مستخدم.</t>
        </is>
      </c>
      <c r="B36" s="10" t="n"/>
      <c r="C36" s="10" t="n"/>
    </row>
    <row r="37" ht="30" customHeight="1">
      <c r="A37" s="14" t="inlineStr">
        <is>
          <t>الموارد والميزانية وأهم المخاطر مكتوبة، ولكل خطر مسؤول.</t>
        </is>
      </c>
      <c r="B37" s="10" t="n"/>
      <c r="C37" s="10" t="n"/>
    </row>
    <row r="38" ht="30" customHeight="1">
      <c r="A38" s="14" t="inlineStr">
        <is>
          <t>اتفق الفريق وأصحاب المصلحة على خارطة الطريق ومقاييس نجاحها.</t>
        </is>
      </c>
      <c r="B38" s="10" t="n"/>
      <c r="C38" s="10" t="n"/>
    </row>
    <row r="39">
      <c r="A39" s="12" t="inlineStr">
        <is>
          <t>البوابة</t>
        </is>
      </c>
      <c r="B39" s="24">
        <f>IF(COUNTIF(B34:B38,"نعم")=5,"مُغلقة: انتقل","مفتوحة "&amp;COUNTIF(B34:B38,"نعم")&amp;"/5")</f>
        <v/>
      </c>
    </row>
    <row r="41" ht="20" customHeight="1">
      <c r="A41" s="6" t="inlineStr">
        <is>
          <t>المرحلة ٥ · الصقل</t>
        </is>
      </c>
    </row>
    <row r="42" ht="30" customHeight="1">
      <c r="A42" s="8" t="inlineStr">
        <is>
          <t>المعيار</t>
        </is>
      </c>
      <c r="B42" s="8" t="inlineStr">
        <is>
          <t>تحقق؟</t>
        </is>
      </c>
      <c r="C42" s="8" t="inlineStr">
        <is>
          <t>الدليل</t>
        </is>
      </c>
    </row>
    <row r="43" ht="30" customHeight="1">
      <c r="A43" s="14" t="inlineStr">
        <is>
          <t>سار الإطلاق وفق قائمة التحقق، كاملاً أو تدريجياً كما خُطّط.</t>
        </is>
      </c>
      <c r="B43" s="10" t="n"/>
      <c r="C43" s="10" t="n"/>
    </row>
    <row r="44" ht="30" customHeight="1">
      <c r="A44" s="14" t="inlineStr">
        <is>
          <t>تُوبعت الأهداف ومؤشرات الأداء المحددة في النحت منذ اليوم الأول.</t>
        </is>
      </c>
      <c r="B44" s="10" t="n"/>
      <c r="C44" s="10" t="n"/>
    </row>
    <row r="45" ht="30" customHeight="1">
      <c r="A45" s="14" t="inlineStr">
        <is>
          <t>عُقدت مراجعة لاحقة بعد أسبوعين إلى أربعة أسابيع من الإطلاق.</t>
        </is>
      </c>
      <c r="B45" s="10" t="n"/>
      <c r="C45" s="10" t="n"/>
    </row>
    <row r="46" ht="30" customHeight="1">
      <c r="A46" s="14" t="inlineStr">
        <is>
          <t>اتُّخذ قرار بناءً على البيانات: التكرار أو التوسّع أو الإيقاف.</t>
        </is>
      </c>
      <c r="B46" s="10" t="n"/>
      <c r="C46" s="10" t="n"/>
    </row>
    <row r="47" ht="30" customHeight="1">
      <c r="A47" s="14" t="inlineStr">
        <is>
          <t>كُتبت الدروس في الإشعال التالي، وبدأت الدورة من جديد.</t>
        </is>
      </c>
      <c r="B47" s="10" t="n"/>
      <c r="C47" s="10" t="n"/>
    </row>
    <row r="48">
      <c r="A48" s="12" t="inlineStr">
        <is>
          <t>البوابة</t>
        </is>
      </c>
      <c r="B48" s="24">
        <f>IF(COUNTIF(B43:B47,"نعم")=5,"مُغلقة: انتقل","مفتوحة "&amp;COUNTIF(B43:B47,"نعم")&amp;"/5")</f>
        <v/>
      </c>
    </row>
  </sheetData>
  <mergeCells count="13">
    <mergeCell ref="B39:C39"/>
    <mergeCell ref="B21:C21"/>
    <mergeCell ref="B30:C30"/>
    <mergeCell ref="A41:C41"/>
    <mergeCell ref="B48:C48"/>
    <mergeCell ref="A1:C1"/>
    <mergeCell ref="A5:C5"/>
    <mergeCell ref="A23:C23"/>
    <mergeCell ref="A32:C32"/>
    <mergeCell ref="A14:C14"/>
    <mergeCell ref="A3:C3"/>
    <mergeCell ref="A2:C2"/>
    <mergeCell ref="B12:C12"/>
  </mergeCells>
  <dataValidations count="5">
    <dataValidation sqref="B7:B11" showDropDown="0" showInputMessage="0" showErrorMessage="0" allowBlank="1" type="list">
      <formula1>"نعم,ليس بعد"</formula1>
    </dataValidation>
    <dataValidation sqref="B16:B20" showDropDown="0" showInputMessage="0" showErrorMessage="0" allowBlank="1" type="list">
      <formula1>"نعم,ليس بعد"</formula1>
    </dataValidation>
    <dataValidation sqref="B25:B29" showDropDown="0" showInputMessage="0" showErrorMessage="0" allowBlank="1" type="list">
      <formula1>"نعم,ليس بعد"</formula1>
    </dataValidation>
    <dataValidation sqref="B34:B38" showDropDown="0" showInputMessage="0" showErrorMessage="0" allowBlank="1" type="list">
      <formula1>"نعم,ليس بعد"</formula1>
    </dataValidation>
    <dataValidation sqref="B43:B47" showDropDown="0" showInputMessage="0" showErrorMessage="0" allowBlank="1" type="list">
      <formula1>"نعم,ليس بعد"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أ.د. محمد فوزى الجندى</dc:creator>
  <dc:title>حقيبة أدوات إنوفا فورج</dc:title>
  <dcterms:created xsi:type="dcterms:W3CDTF">2026-10-04T19:14:05Z</dcterms:created>
  <dcterms:modified xsi:type="dcterms:W3CDTF">2026-10-04T19:14:05Z</dcterms:modified>
</cp:coreProperties>
</file>