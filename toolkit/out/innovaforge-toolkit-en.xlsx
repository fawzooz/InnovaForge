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0.2 Canvas" sheetId="2" state="visible" r:id="rId2"/>
    <sheet name="1.1 Five Whys" sheetId="3" state="visible" r:id="rId3"/>
    <sheet name="1.2 Inspiration" sheetId="4" state="visible" r:id="rId4"/>
    <sheet name="1.3 Idea bank" sheetId="5" state="visible" r:id="rId5"/>
    <sheet name="1.4 Prioritize" sheetId="6" state="visible" r:id="rId6"/>
    <sheet name="2.1 Concept" sheetId="7" state="visible" r:id="rId7"/>
    <sheet name="2.2 SCAMPER" sheetId="8" state="visible" r:id="rId8"/>
    <sheet name="3.1 Assumptions" sheetId="9" state="visible" r:id="rId9"/>
    <sheet name="3.2 Tests" sheetId="10" state="visible" r:id="rId10"/>
    <sheet name="3.3 Feedback log" sheetId="11" state="visible" r:id="rId11"/>
    <sheet name="3.5 Build–Measure–Learn" sheetId="12" state="visible" r:id="rId12"/>
    <sheet name="4.1 SWOT" sheetId="13" state="visible" r:id="rId13"/>
    <sheet name="4.3 OKRs" sheetId="14" state="visible" r:id="rId14"/>
    <sheet name="4.4 Roadmap" sheetId="15" state="visible" r:id="rId15"/>
    <sheet name="4.5 Resources and risks" sheetId="16" state="visible" r:id="rId16"/>
    <sheet name="5.1 Launch checklist" sheetId="17" state="visible" r:id="rId17"/>
    <sheet name="5.2 Impact tracker" sheetId="18" state="visible" r:id="rId18"/>
    <sheet name="5.3 Retrospective" sheetId="19" state="visible" r:id="rId19"/>
    <sheet name="5.4 Decision" sheetId="20" state="visible" r:id="rId20"/>
    <sheet name="✓ Gat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nrope"/>
      <color rgb="008E8B85"/>
      <sz val="9"/>
    </font>
    <font>
      <name val="Manrope"/>
      <b val="1"/>
      <color rgb="00111418"/>
      <sz val="16"/>
    </font>
    <font>
      <name val="Manrope"/>
      <color rgb="00424244"/>
      <sz val="10"/>
    </font>
    <font>
      <name val="Manrope"/>
      <b val="1"/>
      <color rgb="0023272C"/>
      <sz val="11"/>
    </font>
    <font>
      <name val="Manrope"/>
      <color rgb="00A86A10"/>
      <sz val="10"/>
    </font>
    <font>
      <name val="Manrope"/>
      <b val="1"/>
      <color rgb="00A86A10"/>
      <sz val="10"/>
    </font>
    <font>
      <name val="Manrope"/>
      <color rgb="0023272C"/>
      <sz val="10"/>
    </font>
    <font>
      <name val="Manrope"/>
      <b val="1"/>
      <color rgb="00FFFFFF"/>
      <sz val="9"/>
    </font>
    <font>
      <name val="Manrope"/>
      <b val="1"/>
      <color rgb="0023272C"/>
      <sz val="10"/>
    </font>
  </fonts>
  <fills count="6">
    <fill>
      <patternFill/>
    </fill>
    <fill>
      <patternFill patternType="gray125"/>
    </fill>
    <fill>
      <patternFill patternType="solid">
        <fgColor rgb="00111418"/>
      </patternFill>
    </fill>
    <fill>
      <patternFill patternType="solid">
        <fgColor rgb="00FAF8F4"/>
      </patternFill>
    </fill>
    <fill>
      <patternFill patternType="solid">
        <fgColor rgb="00FFFFFF"/>
      </patternFill>
    </fill>
    <fill>
      <patternFill patternType="solid">
        <fgColor rgb="00FBF3E3"/>
      </patternFill>
    </fill>
  </fills>
  <borders count="9">
    <border>
      <left/>
      <right/>
      <top/>
      <bottom/>
      <diagonal/>
    </border>
    <border>
      <left style="thin">
        <color rgb="00E3DED4"/>
      </left>
      <right style="thin">
        <color rgb="00E3DED4"/>
      </right>
      <top style="thin">
        <color rgb="00E3DED4"/>
      </top>
      <bottom style="thin">
        <color rgb="00E3DED4"/>
      </bottom>
    </border>
    <border>
      <left style="thin">
        <color rgb="00E3DED4"/>
      </left>
      <right/>
      <top/>
      <bottom/>
      <diagonal/>
    </border>
    <border>
      <left style="thin">
        <color rgb="00E3DED4"/>
      </left>
      <right style="thin">
        <color rgb="00E3DED4"/>
      </right>
      <top/>
      <bottom/>
      <diagonal/>
    </border>
    <border>
      <left style="thin">
        <color rgb="00E3DED4"/>
      </left>
      <right style="thin">
        <color rgb="00E3DED4"/>
      </right>
      <top/>
      <bottom style="thin">
        <color rgb="00E3DED4"/>
      </bottom>
      <diagonal/>
    </border>
    <border>
      <left/>
      <right/>
      <top style="thin">
        <color rgb="00E3DED4"/>
      </top>
      <bottom/>
      <diagonal/>
    </border>
    <border>
      <left/>
      <right style="thin">
        <color rgb="00E3DED4"/>
      </right>
      <top style="thin">
        <color rgb="00E3DED4"/>
      </top>
      <bottom/>
      <diagonal/>
    </border>
    <border>
      <left/>
      <right/>
      <top style="thin">
        <color rgb="00E3DED4"/>
      </top>
      <bottom style="thin">
        <color rgb="00E3DED4"/>
      </bottom>
      <diagonal/>
    </border>
    <border>
      <left/>
      <right style="thin">
        <color rgb="00E3DED4"/>
      </right>
      <top style="thin">
        <color rgb="00E3DED4"/>
      </top>
      <bottom style="thin">
        <color rgb="00E3DED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7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0" fillId="0" borderId="1" pivotButton="0" quotePrefix="0" xfId="0"/>
    <xf numFmtId="0" fontId="9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6" fillId="0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9" fontId="9" fillId="5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ont>
        <b val="1"/>
        <color rgb="00111418"/>
      </font>
      <fill>
        <patternFill patternType="solid">
          <fgColor rgb="00F5A623"/>
        </patternFill>
      </fill>
    </dxf>
    <dxf>
      <font>
        <b val="1"/>
      </font>
      <fill>
        <patternFill patternType="solid">
          <fgColor rgb="00F5A623"/>
        </patternFill>
      </fill>
    </dxf>
    <dxf>
      <fill>
        <patternFill patternType="solid">
          <fgColor rgb="00F3C3B3"/>
        </patternFill>
      </fill>
    </dxf>
    <dxf>
      <fill>
        <patternFill patternType="solid">
          <fgColor rgb="00FBE7BF"/>
        </patternFill>
      </fill>
    </dxf>
    <dxf>
      <fill>
        <patternFill patternType="solid">
          <fgColor rgb="00E9EF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418"/>
    <outlinePr summaryBelow="1" summaryRight="1"/>
    <pageSetUpPr fitToPage="1"/>
  </sheetPr>
  <dimension ref="A1:B22"/>
  <sheetViews>
    <sheetView showGridLines="0" rightToLeft="0" zoomScale="110"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InnovaForge Toolkit</t>
        </is>
      </c>
    </row>
    <row r="2" ht="28" customHeight="1">
      <c r="A2" s="2" t="inlineStr">
        <is>
          <t>Start here</t>
        </is>
      </c>
    </row>
    <row r="3" ht="32" customHeight="1">
      <c r="A3" s="3" t="inlineStr">
        <is>
          <t>Templates and worksheets for the five stages, from spark to scale</t>
        </is>
      </c>
    </row>
    <row r="5">
      <c r="A5" s="4" t="inlineStr">
        <is>
          <t>Prof. Dr. Mohamed Fawzi Elgendi</t>
        </is>
      </c>
    </row>
    <row r="6">
      <c r="A6" s="5" t="inlineStr">
        <is>
          <t>www.fawzooz.ai</t>
        </is>
      </c>
    </row>
    <row r="8" ht="20" customHeight="1">
      <c r="A8" s="6" t="inlineStr">
        <is>
          <t>How to use it</t>
        </is>
      </c>
    </row>
    <row r="9" ht="30" customHeight="1">
      <c r="A9" s="7" t="inlineStr">
        <is>
          <t>•  Fill in the white cells. Cream cells are calculated for you.</t>
        </is>
      </c>
    </row>
    <row r="10" ht="30" customHeight="1">
      <c r="A10" s="7" t="inlineStr">
        <is>
          <t>•  Open with the canvas and Ignite together at kick-off; revisit the canvas at every milestone.</t>
        </is>
      </c>
    </row>
    <row r="11" ht="30" customHeight="1">
      <c r="A11" s="7" t="inlineStr">
        <is>
          <t>•  Close each stage on the Gates sheet before moving on. If a criterion is not met, loop back.</t>
        </is>
      </c>
    </row>
    <row r="12" ht="30" customHeight="1">
      <c r="A12" s="7" t="inlineStr">
        <is>
          <t>•  The printable edition (PDF) has every sheet, including those drawn by hand: the mind map, the storyboard, the sketch.</t>
        </is>
      </c>
    </row>
    <row r="14" ht="20" customHeight="1">
      <c r="A14" s="6" t="inlineStr">
        <is>
          <t>The five stages</t>
        </is>
      </c>
    </row>
    <row r="15" ht="30" customHeight="1">
      <c r="A15" s="8" t="inlineStr">
        <is>
          <t>Stage</t>
        </is>
      </c>
      <c r="B15" s="8" t="inlineStr">
        <is>
          <t>Exit criteria</t>
        </is>
      </c>
    </row>
    <row r="16" ht="34" customHeight="1">
      <c r="A16" s="9" t="inlineStr">
        <is>
          <t>1 · Ignite</t>
        </is>
      </c>
      <c r="B16" s="10" t="inlineStr">
        <is>
          <t>One to three prioritized problems or opportunities and a bank of initial ideas, recorded on the canvas.</t>
        </is>
      </c>
    </row>
    <row r="17" ht="34" customHeight="1">
      <c r="A17" s="9" t="inlineStr">
        <is>
          <t>2 · Forge</t>
        </is>
      </c>
      <c r="B17" s="10" t="inlineStr">
        <is>
          <t>A clear value proposition and a low-fidelity prototype ready for first feedback.</t>
        </is>
      </c>
    </row>
    <row r="18" ht="34" customHeight="1">
      <c r="A18" s="9" t="inlineStr">
        <is>
          <t>3 · Temper</t>
        </is>
      </c>
      <c r="B18" s="10" t="inlineStr">
        <is>
          <t>Core assumptions validated or invalidated with real user data; learnings and pivots recorded.</t>
        </is>
      </c>
    </row>
    <row r="19" ht="34" customHeight="1">
      <c r="A19" s="9" t="inlineStr">
        <is>
          <t>4 · Sculpt</t>
        </is>
      </c>
      <c r="B19" s="10" t="inlineStr">
        <is>
          <t>A roadmap with objectives and success metrics agreed by the team and stakeholders.</t>
        </is>
      </c>
    </row>
    <row r="20" ht="34" customHeight="1">
      <c r="A20" s="9" t="inlineStr">
        <is>
          <t>5 · Polish</t>
        </is>
      </c>
      <c r="B20" s="10" t="inlineStr">
        <is>
          <t>Initial performance data analyzed and a decision taken: iterate, scale or sunset. The cycle begins anew.</t>
        </is>
      </c>
    </row>
    <row r="22" ht="30" customHeight="1">
      <c r="A22" s="11" t="inlineStr">
        <is>
          <t>Licence: CC BY-SA 4.0. You may copy, adapt and share these templates, including commercially, with credit and under the same licence.</t>
        </is>
      </c>
    </row>
  </sheetData>
  <mergeCells count="12">
    <mergeCell ref="A2:B2"/>
    <mergeCell ref="A11:B11"/>
    <mergeCell ref="A10:B10"/>
    <mergeCell ref="A5:B5"/>
    <mergeCell ref="A14:B14"/>
    <mergeCell ref="A1:B1"/>
    <mergeCell ref="A9:B9"/>
    <mergeCell ref="A8:B8"/>
    <mergeCell ref="A3:B3"/>
    <mergeCell ref="A6:B6"/>
    <mergeCell ref="A22:B22"/>
    <mergeCell ref="A12:B1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D16"/>
  <sheetViews>
    <sheetView showGridLines="0" rightToLeft="0" zoomScale="110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InnovaForge Toolkit · 0.2</t>
        </is>
      </c>
    </row>
    <row r="2" ht="28" customHeight="1">
      <c r="A2" s="2" t="inlineStr">
        <is>
          <t>Canvas</t>
        </is>
      </c>
    </row>
    <row r="3" ht="32" customHeight="1">
      <c r="A3" s="3" t="inlineStr">
        <is>
          <t>The single source of truth: one row per stage, three boxes each.</t>
        </is>
      </c>
    </row>
    <row r="5">
      <c r="A5" s="12" t="inlineStr">
        <is>
          <t>Project</t>
        </is>
      </c>
      <c r="B5" s="13" t="n"/>
    </row>
    <row r="7" ht="30" customHeight="1">
      <c r="A7" s="8" t="inlineStr">
        <is>
          <t>1 · Ignite</t>
        </is>
      </c>
      <c r="B7" s="8" t="inlineStr">
        <is>
          <t>Problems &amp; opportunities</t>
        </is>
      </c>
      <c r="C7" s="8" t="inlineStr">
        <is>
          <t>Inspiration sources</t>
        </is>
      </c>
      <c r="D7" s="8" t="inlineStr">
        <is>
          <t>Idea bank</t>
        </is>
      </c>
    </row>
    <row r="8" ht="110" customHeight="1">
      <c r="A8" s="14" t="inlineStr">
        <is>
          <t>The Spark of Insight</t>
        </is>
      </c>
      <c r="B8" s="10" t="n"/>
      <c r="C8" s="10" t="n"/>
      <c r="D8" s="10" t="n"/>
    </row>
    <row r="9" ht="30" customHeight="1">
      <c r="A9" s="8" t="inlineStr">
        <is>
          <t>2 · Forge</t>
        </is>
      </c>
      <c r="B9" s="8" t="inlineStr">
        <is>
          <t>Concept statement</t>
        </is>
      </c>
      <c r="C9" s="8" t="inlineStr">
        <is>
          <t>Value proposition</t>
        </is>
      </c>
      <c r="D9" s="8" t="inlineStr">
        <is>
          <t>Low-fi prototype</t>
        </is>
      </c>
    </row>
    <row r="10" ht="110" customHeight="1">
      <c r="A10" s="14" t="inlineStr">
        <is>
          <t>Shaping the Concept</t>
        </is>
      </c>
      <c r="B10" s="10" t="n"/>
      <c r="C10" s="10" t="n"/>
      <c r="D10" s="10" t="n"/>
    </row>
    <row r="11" ht="30" customHeight="1">
      <c r="A11" s="8" t="inlineStr">
        <is>
          <t>3 · Temper</t>
        </is>
      </c>
      <c r="B11" s="8" t="inlineStr">
        <is>
          <t>Riskiest assumptions</t>
        </is>
      </c>
      <c r="C11" s="8" t="inlineStr">
        <is>
          <t>User feedback</t>
        </is>
      </c>
      <c r="D11" s="8" t="inlineStr">
        <is>
          <t>Learnings &amp; pivots</t>
        </is>
      </c>
    </row>
    <row r="12" ht="110" customHeight="1">
      <c r="A12" s="14" t="inlineStr">
        <is>
          <t>Testing and Iteration</t>
        </is>
      </c>
      <c r="B12" s="10" t="n"/>
      <c r="C12" s="10" t="n"/>
      <c r="D12" s="10" t="n"/>
    </row>
    <row r="13" ht="30" customHeight="1">
      <c r="A13" s="8" t="inlineStr">
        <is>
          <t>4 · Sculpt</t>
        </is>
      </c>
      <c r="B13" s="8" t="inlineStr">
        <is>
          <t>Goals &amp; OKRs</t>
        </is>
      </c>
      <c r="C13" s="8" t="inlineStr">
        <is>
          <t>Roadmap &amp; sprints</t>
        </is>
      </c>
      <c r="D13" s="8" t="inlineStr">
        <is>
          <t>Resources &amp; risks</t>
        </is>
      </c>
    </row>
    <row r="14" ht="110" customHeight="1">
      <c r="A14" s="14" t="inlineStr">
        <is>
          <t>Planning for Impact</t>
        </is>
      </c>
      <c r="B14" s="10" t="n"/>
      <c r="C14" s="10" t="n"/>
      <c r="D14" s="10" t="n"/>
    </row>
    <row r="15" ht="30" customHeight="1">
      <c r="A15" s="8" t="inlineStr">
        <is>
          <t>5 · Polish</t>
        </is>
      </c>
      <c r="B15" s="8" t="inlineStr">
        <is>
          <t>Launch plan</t>
        </is>
      </c>
      <c r="C15" s="8" t="inlineStr">
        <is>
          <t>Impact metrics</t>
        </is>
      </c>
      <c r="D15" s="8" t="inlineStr">
        <is>
          <t>Next step</t>
        </is>
      </c>
    </row>
    <row r="16" ht="110" customHeight="1">
      <c r="A16" s="14" t="inlineStr">
        <is>
          <t>Launch, Learn, and Scale</t>
        </is>
      </c>
      <c r="B16" s="10" t="n"/>
      <c r="C16" s="10" t="n"/>
      <c r="D16" s="10" t="n"/>
    </row>
  </sheetData>
  <mergeCells count="4">
    <mergeCell ref="A1:D1"/>
    <mergeCell ref="B5:D5"/>
    <mergeCell ref="A3:D3"/>
    <mergeCell ref="A2:D2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B16"/>
  <sheetViews>
    <sheetView showGridLines="0" rightToLeft="0" zoomScale="110"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InnovaForge Toolkit · 1.1</t>
        </is>
      </c>
    </row>
    <row r="2" ht="28" customHeight="1">
      <c r="A2" s="2" t="inlineStr">
        <is>
          <t>Five Whys</t>
        </is>
      </c>
    </row>
    <row r="3" ht="32" customHeight="1">
      <c r="A3" s="3" t="inlineStr">
        <is>
          <t>Start from a fact you have seen; ask “why?” of each answer.</t>
        </is>
      </c>
    </row>
    <row r="5" ht="20" customHeight="1">
      <c r="A5" s="6" t="inlineStr">
        <is>
          <t>The problem we observed</t>
        </is>
      </c>
    </row>
    <row r="6" ht="50" customHeight="1">
      <c r="A6" s="15" t="n"/>
      <c r="B6" s="16" t="n"/>
    </row>
    <row r="8" ht="30" customHeight="1">
      <c r="A8" s="8" t="inlineStr">
        <is>
          <t>Why?</t>
        </is>
      </c>
      <c r="B8" s="8" t="inlineStr">
        <is>
          <t>Because…</t>
        </is>
      </c>
    </row>
    <row r="9" ht="36" customHeight="1">
      <c r="A9" s="14" t="inlineStr">
        <is>
          <t>Why? 1</t>
        </is>
      </c>
      <c r="B9" s="10" t="n"/>
    </row>
    <row r="10" ht="36" customHeight="1">
      <c r="A10" s="14" t="inlineStr">
        <is>
          <t>Why? 2</t>
        </is>
      </c>
      <c r="B10" s="10" t="n"/>
    </row>
    <row r="11" ht="36" customHeight="1">
      <c r="A11" s="14" t="inlineStr">
        <is>
          <t>Why? 3</t>
        </is>
      </c>
      <c r="B11" s="10" t="n"/>
    </row>
    <row r="12" ht="36" customHeight="1">
      <c r="A12" s="14" t="inlineStr">
        <is>
          <t>Why? 4</t>
        </is>
      </c>
      <c r="B12" s="10" t="n"/>
    </row>
    <row r="13" ht="36" customHeight="1">
      <c r="A13" s="14" t="inlineStr">
        <is>
          <t>Why? 5</t>
        </is>
      </c>
      <c r="B13" s="10" t="n"/>
    </row>
    <row r="15" ht="20" customHeight="1">
      <c r="A15" s="6" t="inlineStr">
        <is>
          <t>Root cause, in one sentence</t>
        </is>
      </c>
    </row>
    <row r="16" ht="40" customHeight="1">
      <c r="A16" s="15" t="n"/>
      <c r="B16" s="16" t="n"/>
    </row>
  </sheetData>
  <mergeCells count="7">
    <mergeCell ref="A2:B2"/>
    <mergeCell ref="A16:B16"/>
    <mergeCell ref="A15:B15"/>
    <mergeCell ref="A5:B5"/>
    <mergeCell ref="A1:B1"/>
    <mergeCell ref="A3:B3"/>
    <mergeCell ref="A6:B6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C20"/>
  <sheetViews>
    <sheetView showGridLines="0" rightToLeft="0" zoomScale="110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1" t="inlineStr">
        <is>
          <t>InnovaForge Toolkit · 1.2</t>
        </is>
      </c>
    </row>
    <row r="2" ht="28" customHeight="1">
      <c r="A2" s="2" t="inlineStr">
        <is>
          <t>Inspiration</t>
        </is>
      </c>
    </row>
    <row r="3" ht="32" customHeight="1">
      <c r="A3" s="3" t="inlineStr">
        <is>
          <t>Reports, competitors, customers and unrelated fields: what you saw and what it suggests.</t>
        </is>
      </c>
    </row>
    <row r="5" ht="30" customHeight="1">
      <c r="A5" s="8" t="inlineStr">
        <is>
          <t>Source</t>
        </is>
      </c>
      <c r="B5" s="8" t="inlineStr">
        <is>
          <t>What we saw</t>
        </is>
      </c>
      <c r="C5" s="8" t="inlineStr">
        <is>
          <t>What it suggests</t>
        </is>
      </c>
    </row>
    <row r="6" ht="40" customHeight="1">
      <c r="A6" s="14" t="inlineStr">
        <is>
          <t>Reports and research</t>
        </is>
      </c>
      <c r="B6" s="10" t="n"/>
      <c r="C6" s="10" t="n"/>
    </row>
    <row r="7" ht="40" customHeight="1">
      <c r="A7" s="14" t="inlineStr">
        <is>
          <t>Competitors</t>
        </is>
      </c>
      <c r="B7" s="10" t="n"/>
      <c r="C7" s="10" t="n"/>
    </row>
    <row r="8" ht="40" customHeight="1">
      <c r="A8" s="14" t="inlineStr">
        <is>
          <t>Customers</t>
        </is>
      </c>
      <c r="B8" s="10" t="n"/>
      <c r="C8" s="10" t="n"/>
    </row>
    <row r="9" ht="40" customHeight="1">
      <c r="A9" s="14" t="inlineStr">
        <is>
          <t>Customers</t>
        </is>
      </c>
      <c r="B9" s="10" t="n"/>
      <c r="C9" s="10" t="n"/>
    </row>
    <row r="10" ht="40" customHeight="1">
      <c r="A10" s="14" t="inlineStr">
        <is>
          <t>An unrelated field</t>
        </is>
      </c>
      <c r="B10" s="10" t="n"/>
      <c r="C10" s="10" t="n"/>
    </row>
    <row r="11" ht="40" customHeight="1">
      <c r="A11" s="14" t="inlineStr">
        <is>
          <t>An unrelated field</t>
        </is>
      </c>
      <c r="B11" s="10" t="n"/>
      <c r="C11" s="10" t="n"/>
    </row>
    <row r="12" ht="40" customHeight="1">
      <c r="A12" s="10" t="n"/>
      <c r="B12" s="10" t="n"/>
      <c r="C12" s="10" t="n"/>
    </row>
    <row r="13" ht="40" customHeight="1">
      <c r="A13" s="10" t="n"/>
      <c r="B13" s="10" t="n"/>
      <c r="C13" s="10" t="n"/>
    </row>
    <row r="14" ht="40" customHeight="1">
      <c r="A14" s="10" t="n"/>
      <c r="B14" s="10" t="n"/>
      <c r="C14" s="10" t="n"/>
    </row>
    <row r="15" ht="40" customHeight="1">
      <c r="A15" s="10" t="n"/>
      <c r="B15" s="10" t="n"/>
      <c r="C15" s="10" t="n"/>
    </row>
    <row r="16" ht="40" customHeight="1">
      <c r="A16" s="10" t="n"/>
      <c r="B16" s="10" t="n"/>
      <c r="C16" s="10" t="n"/>
    </row>
    <row r="17" ht="40" customHeight="1">
      <c r="A17" s="10" t="n"/>
      <c r="B17" s="10" t="n"/>
      <c r="C17" s="10" t="n"/>
    </row>
    <row r="19" ht="20" customHeight="1">
      <c r="A19" s="6" t="inlineStr">
        <is>
          <t>The pattern across sources</t>
        </is>
      </c>
    </row>
    <row r="20" ht="50" customHeight="1">
      <c r="A20" s="15" t="n"/>
      <c r="B20" s="16" t="n"/>
      <c r="C20" s="16" t="n"/>
    </row>
  </sheetData>
  <mergeCells count="5">
    <mergeCell ref="A19:C19"/>
    <mergeCell ref="A1:C1"/>
    <mergeCell ref="A3:C3"/>
    <mergeCell ref="A20:C20"/>
    <mergeCell ref="A2:C2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D48"/>
  <sheetViews>
    <sheetView showGridLines="0" rightToLeft="0" zoomScale="110"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8" customWidth="1" min="3" max="3"/>
    <col width="10" customWidth="1" min="4" max="4"/>
  </cols>
  <sheetData>
    <row r="1">
      <c r="A1" s="1" t="inlineStr">
        <is>
          <t>InnovaForge Toolkit · 1.3</t>
        </is>
      </c>
    </row>
    <row r="2" ht="28" customHeight="1">
      <c r="A2" s="2" t="inlineStr">
        <is>
          <t>Idea bank</t>
        </is>
      </c>
    </row>
    <row r="3" ht="32" customHeight="1">
      <c r="A3" s="3" t="inlineStr">
        <is>
          <t>Defer judgment, build on others’ ideas, go for quantity. Vote only at the end.</t>
        </is>
      </c>
    </row>
    <row r="5" ht="20" customHeight="1">
      <c r="A5" s="6" t="inlineStr">
        <is>
          <t>How might we…?</t>
        </is>
      </c>
    </row>
    <row r="6" ht="30" customHeight="1">
      <c r="A6" s="15" t="n"/>
      <c r="B6" s="16" t="n"/>
      <c r="C6" s="16" t="n"/>
      <c r="D6" s="16" t="n"/>
    </row>
    <row r="8" ht="30" customHeight="1">
      <c r="A8" s="8" t="inlineStr">
        <is>
          <t>#</t>
        </is>
      </c>
      <c r="B8" s="8" t="inlineStr">
        <is>
          <t>Idea</t>
        </is>
      </c>
      <c r="C8" s="8" t="inlineStr">
        <is>
          <t>From (brainstorm, provocation…)</t>
        </is>
      </c>
      <c r="D8" s="8" t="inlineStr">
        <is>
          <t>Votes</t>
        </is>
      </c>
    </row>
    <row r="9" ht="22" customHeight="1">
      <c r="A9" s="17" t="n">
        <v>1</v>
      </c>
      <c r="B9" s="10" t="n"/>
      <c r="C9" s="10" t="n"/>
      <c r="D9" s="10" t="n"/>
    </row>
    <row r="10" ht="22" customHeight="1">
      <c r="A10" s="17" t="n">
        <v>2</v>
      </c>
      <c r="B10" s="10" t="n"/>
      <c r="C10" s="10" t="n"/>
      <c r="D10" s="10" t="n"/>
    </row>
    <row r="11" ht="22" customHeight="1">
      <c r="A11" s="17" t="n">
        <v>3</v>
      </c>
      <c r="B11" s="10" t="n"/>
      <c r="C11" s="10" t="n"/>
      <c r="D11" s="10" t="n"/>
    </row>
    <row r="12" ht="22" customHeight="1">
      <c r="A12" s="17" t="n">
        <v>4</v>
      </c>
      <c r="B12" s="10" t="n"/>
      <c r="C12" s="10" t="n"/>
      <c r="D12" s="10" t="n"/>
    </row>
    <row r="13" ht="22" customHeight="1">
      <c r="A13" s="17" t="n">
        <v>5</v>
      </c>
      <c r="B13" s="10" t="n"/>
      <c r="C13" s="10" t="n"/>
      <c r="D13" s="10" t="n"/>
    </row>
    <row r="14" ht="22" customHeight="1">
      <c r="A14" s="17" t="n">
        <v>6</v>
      </c>
      <c r="B14" s="10" t="n"/>
      <c r="C14" s="10" t="n"/>
      <c r="D14" s="10" t="n"/>
    </row>
    <row r="15" ht="22" customHeight="1">
      <c r="A15" s="17" t="n">
        <v>7</v>
      </c>
      <c r="B15" s="10" t="n"/>
      <c r="C15" s="10" t="n"/>
      <c r="D15" s="10" t="n"/>
    </row>
    <row r="16" ht="22" customHeight="1">
      <c r="A16" s="17" t="n">
        <v>8</v>
      </c>
      <c r="B16" s="10" t="n"/>
      <c r="C16" s="10" t="n"/>
      <c r="D16" s="10" t="n"/>
    </row>
    <row r="17" ht="22" customHeight="1">
      <c r="A17" s="17" t="n">
        <v>9</v>
      </c>
      <c r="B17" s="10" t="n"/>
      <c r="C17" s="10" t="n"/>
      <c r="D17" s="10" t="n"/>
    </row>
    <row r="18" ht="22" customHeight="1">
      <c r="A18" s="17" t="n">
        <v>10</v>
      </c>
      <c r="B18" s="10" t="n"/>
      <c r="C18" s="10" t="n"/>
      <c r="D18" s="10" t="n"/>
    </row>
    <row r="19" ht="22" customHeight="1">
      <c r="A19" s="17" t="n">
        <v>11</v>
      </c>
      <c r="B19" s="10" t="n"/>
      <c r="C19" s="10" t="n"/>
      <c r="D19" s="10" t="n"/>
    </row>
    <row r="20" ht="22" customHeight="1">
      <c r="A20" s="17" t="n">
        <v>12</v>
      </c>
      <c r="B20" s="10" t="n"/>
      <c r="C20" s="10" t="n"/>
      <c r="D20" s="10" t="n"/>
    </row>
    <row r="21" ht="22" customHeight="1">
      <c r="A21" s="17" t="n">
        <v>13</v>
      </c>
      <c r="B21" s="10" t="n"/>
      <c r="C21" s="10" t="n"/>
      <c r="D21" s="10" t="n"/>
    </row>
    <row r="22" ht="22" customHeight="1">
      <c r="A22" s="17" t="n">
        <v>14</v>
      </c>
      <c r="B22" s="10" t="n"/>
      <c r="C22" s="10" t="n"/>
      <c r="D22" s="10" t="n"/>
    </row>
    <row r="23" ht="22" customHeight="1">
      <c r="A23" s="17" t="n">
        <v>15</v>
      </c>
      <c r="B23" s="10" t="n"/>
      <c r="C23" s="10" t="n"/>
      <c r="D23" s="10" t="n"/>
    </row>
    <row r="24" ht="22" customHeight="1">
      <c r="A24" s="17" t="n">
        <v>16</v>
      </c>
      <c r="B24" s="10" t="n"/>
      <c r="C24" s="10" t="n"/>
      <c r="D24" s="10" t="n"/>
    </row>
    <row r="25" ht="22" customHeight="1">
      <c r="A25" s="17" t="n">
        <v>17</v>
      </c>
      <c r="B25" s="10" t="n"/>
      <c r="C25" s="10" t="n"/>
      <c r="D25" s="10" t="n"/>
    </row>
    <row r="26" ht="22" customHeight="1">
      <c r="A26" s="17" t="n">
        <v>18</v>
      </c>
      <c r="B26" s="10" t="n"/>
      <c r="C26" s="10" t="n"/>
      <c r="D26" s="10" t="n"/>
    </row>
    <row r="27" ht="22" customHeight="1">
      <c r="A27" s="17" t="n">
        <v>19</v>
      </c>
      <c r="B27" s="10" t="n"/>
      <c r="C27" s="10" t="n"/>
      <c r="D27" s="10" t="n"/>
    </row>
    <row r="28" ht="22" customHeight="1">
      <c r="A28" s="17" t="n">
        <v>20</v>
      </c>
      <c r="B28" s="10" t="n"/>
      <c r="C28" s="10" t="n"/>
      <c r="D28" s="10" t="n"/>
    </row>
    <row r="29" ht="22" customHeight="1">
      <c r="A29" s="17" t="n">
        <v>21</v>
      </c>
      <c r="B29" s="10" t="n"/>
      <c r="C29" s="10" t="n"/>
      <c r="D29" s="10" t="n"/>
    </row>
    <row r="30" ht="22" customHeight="1">
      <c r="A30" s="17" t="n">
        <v>22</v>
      </c>
      <c r="B30" s="10" t="n"/>
      <c r="C30" s="10" t="n"/>
      <c r="D30" s="10" t="n"/>
    </row>
    <row r="31" ht="22" customHeight="1">
      <c r="A31" s="17" t="n">
        <v>23</v>
      </c>
      <c r="B31" s="10" t="n"/>
      <c r="C31" s="10" t="n"/>
      <c r="D31" s="10" t="n"/>
    </row>
    <row r="32" ht="22" customHeight="1">
      <c r="A32" s="17" t="n">
        <v>24</v>
      </c>
      <c r="B32" s="10" t="n"/>
      <c r="C32" s="10" t="n"/>
      <c r="D32" s="10" t="n"/>
    </row>
    <row r="33" ht="22" customHeight="1">
      <c r="A33" s="17" t="n">
        <v>25</v>
      </c>
      <c r="B33" s="10" t="n"/>
      <c r="C33" s="10" t="n"/>
      <c r="D33" s="10" t="n"/>
    </row>
    <row r="34" ht="22" customHeight="1">
      <c r="A34" s="17" t="n">
        <v>26</v>
      </c>
      <c r="B34" s="10" t="n"/>
      <c r="C34" s="10" t="n"/>
      <c r="D34" s="10" t="n"/>
    </row>
    <row r="35" ht="22" customHeight="1">
      <c r="A35" s="17" t="n">
        <v>27</v>
      </c>
      <c r="B35" s="10" t="n"/>
      <c r="C35" s="10" t="n"/>
      <c r="D35" s="10" t="n"/>
    </row>
    <row r="36" ht="22" customHeight="1">
      <c r="A36" s="17" t="n">
        <v>28</v>
      </c>
      <c r="B36" s="10" t="n"/>
      <c r="C36" s="10" t="n"/>
      <c r="D36" s="10" t="n"/>
    </row>
    <row r="37" ht="22" customHeight="1">
      <c r="A37" s="17" t="n">
        <v>29</v>
      </c>
      <c r="B37" s="10" t="n"/>
      <c r="C37" s="10" t="n"/>
      <c r="D37" s="10" t="n"/>
    </row>
    <row r="38" ht="22" customHeight="1">
      <c r="A38" s="17" t="n">
        <v>30</v>
      </c>
      <c r="B38" s="10" t="n"/>
      <c r="C38" s="10" t="n"/>
      <c r="D38" s="10" t="n"/>
    </row>
    <row r="39" ht="22" customHeight="1">
      <c r="A39" s="17" t="n">
        <v>31</v>
      </c>
      <c r="B39" s="10" t="n"/>
      <c r="C39" s="10" t="n"/>
      <c r="D39" s="10" t="n"/>
    </row>
    <row r="40" ht="22" customHeight="1">
      <c r="A40" s="17" t="n">
        <v>32</v>
      </c>
      <c r="B40" s="10" t="n"/>
      <c r="C40" s="10" t="n"/>
      <c r="D40" s="10" t="n"/>
    </row>
    <row r="41" ht="22" customHeight="1">
      <c r="A41" s="17" t="n">
        <v>33</v>
      </c>
      <c r="B41" s="10" t="n"/>
      <c r="C41" s="10" t="n"/>
      <c r="D41" s="10" t="n"/>
    </row>
    <row r="42" ht="22" customHeight="1">
      <c r="A42" s="17" t="n">
        <v>34</v>
      </c>
      <c r="B42" s="10" t="n"/>
      <c r="C42" s="10" t="n"/>
      <c r="D42" s="10" t="n"/>
    </row>
    <row r="43" ht="22" customHeight="1">
      <c r="A43" s="17" t="n">
        <v>35</v>
      </c>
      <c r="B43" s="10" t="n"/>
      <c r="C43" s="10" t="n"/>
      <c r="D43" s="10" t="n"/>
    </row>
    <row r="44" ht="22" customHeight="1">
      <c r="A44" s="17" t="n">
        <v>36</v>
      </c>
      <c r="B44" s="10" t="n"/>
      <c r="C44" s="10" t="n"/>
      <c r="D44" s="10" t="n"/>
    </row>
    <row r="45" ht="22" customHeight="1">
      <c r="A45" s="17" t="n">
        <v>37</v>
      </c>
      <c r="B45" s="10" t="n"/>
      <c r="C45" s="10" t="n"/>
      <c r="D45" s="10" t="n"/>
    </row>
    <row r="46" ht="22" customHeight="1">
      <c r="A46" s="17" t="n">
        <v>38</v>
      </c>
      <c r="B46" s="10" t="n"/>
      <c r="C46" s="10" t="n"/>
      <c r="D46" s="10" t="n"/>
    </row>
    <row r="47" ht="22" customHeight="1">
      <c r="A47" s="17" t="n">
        <v>39</v>
      </c>
      <c r="B47" s="10" t="n"/>
      <c r="C47" s="10" t="n"/>
      <c r="D47" s="10" t="n"/>
    </row>
    <row r="48" ht="22" customHeight="1">
      <c r="A48" s="17" t="n">
        <v>40</v>
      </c>
      <c r="B48" s="10" t="n"/>
      <c r="C48" s="10" t="n"/>
      <c r="D48" s="10" t="n"/>
    </row>
  </sheetData>
  <mergeCells count="5">
    <mergeCell ref="A1:D1"/>
    <mergeCell ref="A5:D5"/>
    <mergeCell ref="A6:D6"/>
    <mergeCell ref="A3:D3"/>
    <mergeCell ref="A2:D2"/>
  </mergeCells>
  <dataValidations count="1">
    <dataValidation sqref="C9:C48" showDropDown="0" showInputMessage="0" showErrorMessage="0" allowBlank="1" type="list">
      <formula1>"Brainstorm,Provocation,Inspiration,Five Whys"</formula1>
    </dataValidation>
  </dataValidation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G15"/>
  <sheetViews>
    <sheetView showGridLines="0" rightToLeft="0" zoomScale="110"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InnovaForge Toolkit · 1.4</t>
        </is>
      </c>
    </row>
    <row r="2" ht="28" customHeight="1">
      <c r="A2" s="2" t="inlineStr">
        <is>
          <t>Prioritize</t>
        </is>
      </c>
    </row>
    <row r="3" ht="32" customHeight="1">
      <c r="A3" s="3" t="inlineStr">
        <is>
          <t>Score 1 (low) to 5 (high). The total and the rank are calculated; keep the top one to three.</t>
        </is>
      </c>
    </row>
    <row r="5" ht="30" customHeight="1">
      <c r="A5" s="8" t="inlineStr">
        <is>
          <t>Problem or opportunity</t>
        </is>
      </c>
      <c r="B5" s="8" t="inlineStr">
        <is>
          <t>Impact</t>
        </is>
      </c>
      <c r="C5" s="8" t="inlineStr">
        <is>
          <t>Urgency</t>
        </is>
      </c>
      <c r="D5" s="8" t="inlineStr">
        <is>
          <t>Evidence</t>
        </is>
      </c>
      <c r="E5" s="8" t="inlineStr">
        <is>
          <t>Fit</t>
        </is>
      </c>
      <c r="F5" s="8" t="inlineStr">
        <is>
          <t>Total</t>
        </is>
      </c>
      <c r="G5" s="8" t="inlineStr">
        <is>
          <t>Rank</t>
        </is>
      </c>
    </row>
    <row r="6" ht="28" customHeight="1">
      <c r="A6" s="10" t="n"/>
      <c r="B6" s="10" t="n"/>
      <c r="C6" s="10" t="n"/>
      <c r="D6" s="10" t="n"/>
      <c r="E6" s="10" t="n"/>
      <c r="F6" s="18">
        <f>IF(COUNT(B6:E6)=0,"",SUM(B6:E6))</f>
        <v/>
      </c>
      <c r="G6" s="18">
        <f>IF(F6="","",COUNTIF($F$6:$F$15,"&gt;"&amp;F6)+1)</f>
        <v/>
      </c>
    </row>
    <row r="7" ht="28" customHeight="1">
      <c r="A7" s="10" t="n"/>
      <c r="B7" s="10" t="n"/>
      <c r="C7" s="10" t="n"/>
      <c r="D7" s="10" t="n"/>
      <c r="E7" s="10" t="n"/>
      <c r="F7" s="18">
        <f>IF(COUNT(B7:E7)=0,"",SUM(B7:E7))</f>
        <v/>
      </c>
      <c r="G7" s="18">
        <f>IF(F7="","",COUNTIF($F$6:$F$15,"&gt;"&amp;F7)+1)</f>
        <v/>
      </c>
    </row>
    <row r="8" ht="28" customHeight="1">
      <c r="A8" s="10" t="n"/>
      <c r="B8" s="10" t="n"/>
      <c r="C8" s="10" t="n"/>
      <c r="D8" s="10" t="n"/>
      <c r="E8" s="10" t="n"/>
      <c r="F8" s="18">
        <f>IF(COUNT(B8:E8)=0,"",SUM(B8:E8))</f>
        <v/>
      </c>
      <c r="G8" s="18">
        <f>IF(F8="","",COUNTIF($F$6:$F$15,"&gt;"&amp;F8)+1)</f>
        <v/>
      </c>
    </row>
    <row r="9" ht="28" customHeight="1">
      <c r="A9" s="10" t="n"/>
      <c r="B9" s="10" t="n"/>
      <c r="C9" s="10" t="n"/>
      <c r="D9" s="10" t="n"/>
      <c r="E9" s="10" t="n"/>
      <c r="F9" s="18">
        <f>IF(COUNT(B9:E9)=0,"",SUM(B9:E9))</f>
        <v/>
      </c>
      <c r="G9" s="18">
        <f>IF(F9="","",COUNTIF($F$6:$F$15,"&gt;"&amp;F9)+1)</f>
        <v/>
      </c>
    </row>
    <row r="10" ht="28" customHeight="1">
      <c r="A10" s="10" t="n"/>
      <c r="B10" s="10" t="n"/>
      <c r="C10" s="10" t="n"/>
      <c r="D10" s="10" t="n"/>
      <c r="E10" s="10" t="n"/>
      <c r="F10" s="18">
        <f>IF(COUNT(B10:E10)=0,"",SUM(B10:E10))</f>
        <v/>
      </c>
      <c r="G10" s="18">
        <f>IF(F10="","",COUNTIF($F$6:$F$15,"&gt;"&amp;F10)+1)</f>
        <v/>
      </c>
    </row>
    <row r="11" ht="28" customHeight="1">
      <c r="A11" s="10" t="n"/>
      <c r="B11" s="10" t="n"/>
      <c r="C11" s="10" t="n"/>
      <c r="D11" s="10" t="n"/>
      <c r="E11" s="10" t="n"/>
      <c r="F11" s="18">
        <f>IF(COUNT(B11:E11)=0,"",SUM(B11:E11))</f>
        <v/>
      </c>
      <c r="G11" s="18">
        <f>IF(F11="","",COUNTIF($F$6:$F$15,"&gt;"&amp;F11)+1)</f>
        <v/>
      </c>
    </row>
    <row r="12" ht="28" customHeight="1">
      <c r="A12" s="10" t="n"/>
      <c r="B12" s="10" t="n"/>
      <c r="C12" s="10" t="n"/>
      <c r="D12" s="10" t="n"/>
      <c r="E12" s="10" t="n"/>
      <c r="F12" s="18">
        <f>IF(COUNT(B12:E12)=0,"",SUM(B12:E12))</f>
        <v/>
      </c>
      <c r="G12" s="18">
        <f>IF(F12="","",COUNTIF($F$6:$F$15,"&gt;"&amp;F12)+1)</f>
        <v/>
      </c>
    </row>
    <row r="13" ht="28" customHeight="1">
      <c r="A13" s="10" t="n"/>
      <c r="B13" s="10" t="n"/>
      <c r="C13" s="10" t="n"/>
      <c r="D13" s="10" t="n"/>
      <c r="E13" s="10" t="n"/>
      <c r="F13" s="18">
        <f>IF(COUNT(B13:E13)=0,"",SUM(B13:E13))</f>
        <v/>
      </c>
      <c r="G13" s="18">
        <f>IF(F13="","",COUNTIF($F$6:$F$15,"&gt;"&amp;F13)+1)</f>
        <v/>
      </c>
    </row>
    <row r="14" ht="28" customHeight="1">
      <c r="A14" s="10" t="n"/>
      <c r="B14" s="10" t="n"/>
      <c r="C14" s="10" t="n"/>
      <c r="D14" s="10" t="n"/>
      <c r="E14" s="10" t="n"/>
      <c r="F14" s="18">
        <f>IF(COUNT(B14:E14)=0,"",SUM(B14:E14))</f>
        <v/>
      </c>
      <c r="G14" s="18">
        <f>IF(F14="","",COUNTIF($F$6:$F$15,"&gt;"&amp;F14)+1)</f>
        <v/>
      </c>
    </row>
    <row r="15" ht="28" customHeight="1">
      <c r="A15" s="10" t="n"/>
      <c r="B15" s="10" t="n"/>
      <c r="C15" s="10" t="n"/>
      <c r="D15" s="10" t="n"/>
      <c r="E15" s="10" t="n"/>
      <c r="F15" s="18">
        <f>IF(COUNT(B15:E15)=0,"",SUM(B15:E15))</f>
        <v/>
      </c>
      <c r="G15" s="18">
        <f>IF(F15="","",COUNTIF($F$6:$F$15,"&gt;"&amp;F15)+1)</f>
        <v/>
      </c>
    </row>
  </sheetData>
  <mergeCells count="3">
    <mergeCell ref="A3:G3"/>
    <mergeCell ref="A2:G2"/>
    <mergeCell ref="A1:G1"/>
  </mergeCells>
  <conditionalFormatting sqref="G6:G15">
    <cfRule type="cellIs" priority="1" operator="lessThanOrEqual" dxfId="0">
      <formula>3</formula>
    </cfRule>
  </conditionalFormatting>
  <dataValidations count="1">
    <dataValidation sqref="B6:E15" showDropDown="0" showInputMessage="0" showErrorMessage="0" allowBlank="1" error="Enter a whole number from 1 to 5." type="whole" operator="between">
      <formula1>1</formula1>
      <formula2>5</formula2>
    </dataValidation>
  </dataValidation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B30"/>
  <sheetViews>
    <sheetView showGridLines="0" rightToLeft="0" zoomScale="110" workbookViewId="0">
      <selection activeCell="A1" sqref="A1"/>
    </sheetView>
  </sheetViews>
  <sheetFormatPr baseColWidth="8" defaultRowHeight="15"/>
  <cols>
    <col width="30" customWidth="1" min="1" max="1"/>
    <col width="76" customWidth="1" min="2" max="2"/>
  </cols>
  <sheetData>
    <row r="1">
      <c r="A1" s="1" t="inlineStr">
        <is>
          <t>InnovaForge Toolkit · 2.1</t>
        </is>
      </c>
    </row>
    <row r="2" ht="28" customHeight="1">
      <c r="A2" s="2" t="inlineStr">
        <is>
          <t>Concept</t>
        </is>
      </c>
    </row>
    <row r="3" ht="32" customHeight="1">
      <c r="A3" s="3" t="inlineStr">
        <is>
          <t>Purpose, audience and features; then the value in one sentence, and a thirty-minute Lean Canvas.</t>
        </is>
      </c>
    </row>
    <row r="5" ht="20" customHeight="1">
      <c r="A5" s="6" t="inlineStr">
        <is>
          <t>Purpose: what it is for</t>
        </is>
      </c>
    </row>
    <row r="6" ht="40" customHeight="1">
      <c r="A6" s="15" t="n"/>
      <c r="B6" s="16" t="n"/>
    </row>
    <row r="8" ht="20" customHeight="1">
      <c r="A8" s="6" t="inlineStr">
        <is>
          <t>Audience: who it is for</t>
        </is>
      </c>
    </row>
    <row r="9" ht="40" customHeight="1">
      <c r="A9" s="15" t="n"/>
      <c r="B9" s="16" t="n"/>
    </row>
    <row r="11" ht="20" customHeight="1">
      <c r="A11" s="6" t="inlineStr">
        <is>
          <t>Features: what it does</t>
        </is>
      </c>
    </row>
    <row r="12" ht="60" customHeight="1">
      <c r="A12" s="15" t="n"/>
      <c r="B12" s="16" t="n"/>
    </row>
    <row r="14" ht="20" customHeight="1">
      <c r="A14" s="6" t="inlineStr">
        <is>
          <t>Concept statement: For … who …, … is a … that … . Unlike …, it … .</t>
        </is>
      </c>
    </row>
    <row r="15" ht="60" customHeight="1">
      <c r="A15" s="15" t="n"/>
      <c r="B15" s="16" t="n"/>
    </row>
    <row r="17" ht="20" customHeight="1">
      <c r="A17" s="6" t="inlineStr">
        <is>
          <t>Value proposition, in one sentence</t>
        </is>
      </c>
    </row>
    <row r="18" ht="36" customHeight="1">
      <c r="A18" s="15" t="n"/>
      <c r="B18" s="16" t="n"/>
    </row>
    <row r="20" ht="20" customHeight="1">
      <c r="A20" s="6" t="inlineStr">
        <is>
          <t>Lean Canvas (after Maurya, 2012)</t>
        </is>
      </c>
    </row>
    <row r="21" ht="30" customHeight="1">
      <c r="A21" s="8" t="inlineStr">
        <is>
          <t>Box</t>
        </is>
      </c>
      <c r="B21" s="8" t="inlineStr">
        <is>
          <t>Our answer</t>
        </is>
      </c>
    </row>
    <row r="22" ht="44" customHeight="1">
      <c r="A22" s="14" t="inlineStr">
        <is>
          <t>1 Customer segments</t>
        </is>
      </c>
      <c r="B22" s="10" t="n"/>
    </row>
    <row r="23" ht="44" customHeight="1">
      <c r="A23" s="14" t="inlineStr">
        <is>
          <t>2 Problem</t>
        </is>
      </c>
      <c r="B23" s="10" t="n"/>
    </row>
    <row r="24" ht="44" customHeight="1">
      <c r="A24" s="14" t="inlineStr">
        <is>
          <t>3 Unique value proposition</t>
        </is>
      </c>
      <c r="B24" s="10" t="n"/>
    </row>
    <row r="25" ht="44" customHeight="1">
      <c r="A25" s="14" t="inlineStr">
        <is>
          <t>4 Solution</t>
        </is>
      </c>
      <c r="B25" s="10" t="n"/>
    </row>
    <row r="26" ht="44" customHeight="1">
      <c r="A26" s="14" t="inlineStr">
        <is>
          <t>5 Channels</t>
        </is>
      </c>
      <c r="B26" s="10" t="n"/>
    </row>
    <row r="27" ht="44" customHeight="1">
      <c r="A27" s="14" t="inlineStr">
        <is>
          <t>6 Revenue streams</t>
        </is>
      </c>
      <c r="B27" s="10" t="n"/>
    </row>
    <row r="28" ht="44" customHeight="1">
      <c r="A28" s="14" t="inlineStr">
        <is>
          <t>7 Cost structure</t>
        </is>
      </c>
      <c r="B28" s="10" t="n"/>
    </row>
    <row r="29" ht="44" customHeight="1">
      <c r="A29" s="14" t="inlineStr">
        <is>
          <t>8 Key metrics</t>
        </is>
      </c>
      <c r="B29" s="10" t="n"/>
    </row>
    <row r="30" ht="44" customHeight="1">
      <c r="A30" s="14" t="inlineStr">
        <is>
          <t>9 Unfair advantage</t>
        </is>
      </c>
      <c r="B30" s="10" t="n"/>
    </row>
  </sheetData>
  <mergeCells count="14">
    <mergeCell ref="A20:B20"/>
    <mergeCell ref="A2:B2"/>
    <mergeCell ref="A15:B15"/>
    <mergeCell ref="A11:B11"/>
    <mergeCell ref="A5:B5"/>
    <mergeCell ref="A14:B14"/>
    <mergeCell ref="A1:B1"/>
    <mergeCell ref="A17:B17"/>
    <mergeCell ref="A9:B9"/>
    <mergeCell ref="A18:B18"/>
    <mergeCell ref="A8:B8"/>
    <mergeCell ref="A3:B3"/>
    <mergeCell ref="A6:B6"/>
    <mergeCell ref="A12:B12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C15"/>
  <sheetViews>
    <sheetView showGridLines="0" rightToLeft="0" zoomScale="110"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8" customWidth="1" min="3" max="3"/>
  </cols>
  <sheetData>
    <row r="1">
      <c r="A1" s="1" t="inlineStr">
        <is>
          <t>InnovaForge Toolkit · 2.2</t>
        </is>
      </c>
    </row>
    <row r="2" ht="28" customHeight="1">
      <c r="A2" s="2" t="inlineStr">
        <is>
          <t>SCAMPER</t>
        </is>
      </c>
    </row>
    <row r="3" ht="32" customHeight="1">
      <c r="A3" s="3" t="inlineStr">
        <is>
          <t>At least one answer per prompt; star the two or three that change the value most.</t>
        </is>
      </c>
    </row>
    <row r="5" ht="20" customHeight="1">
      <c r="A5" s="6" t="inlineStr">
        <is>
          <t>The idea we are working on</t>
        </is>
      </c>
    </row>
    <row r="6" ht="30" customHeight="1">
      <c r="A6" s="15" t="n"/>
      <c r="B6" s="16" t="n"/>
      <c r="C6" s="16" t="n"/>
    </row>
    <row r="8" ht="30" customHeight="1">
      <c r="A8" s="8" t="inlineStr">
        <is>
          <t>Prompt</t>
        </is>
      </c>
      <c r="B8" s="8" t="inlineStr">
        <is>
          <t>Our answers</t>
        </is>
      </c>
      <c r="C8" s="8" t="inlineStr">
        <is>
          <t>★</t>
        </is>
      </c>
    </row>
    <row r="9" ht="44" customHeight="1">
      <c r="A9" s="14" t="inlineStr">
        <is>
          <t>S · Substitute</t>
        </is>
      </c>
      <c r="B9" s="10" t="n"/>
      <c r="C9" s="10" t="n"/>
    </row>
    <row r="10" ht="44" customHeight="1">
      <c r="A10" s="14" t="inlineStr">
        <is>
          <t>C · Combine</t>
        </is>
      </c>
      <c r="B10" s="10" t="n"/>
      <c r="C10" s="10" t="n"/>
    </row>
    <row r="11" ht="44" customHeight="1">
      <c r="A11" s="14" t="inlineStr">
        <is>
          <t>A · Adapt</t>
        </is>
      </c>
      <c r="B11" s="10" t="n"/>
      <c r="C11" s="10" t="n"/>
    </row>
    <row r="12" ht="44" customHeight="1">
      <c r="A12" s="14" t="inlineStr">
        <is>
          <t>M · Modify</t>
        </is>
      </c>
      <c r="B12" s="10" t="n"/>
      <c r="C12" s="10" t="n"/>
    </row>
    <row r="13" ht="44" customHeight="1">
      <c r="A13" s="14" t="inlineStr">
        <is>
          <t>P · Put to another use</t>
        </is>
      </c>
      <c r="B13" s="10" t="n"/>
      <c r="C13" s="10" t="n"/>
    </row>
    <row r="14" ht="44" customHeight="1">
      <c r="A14" s="14" t="inlineStr">
        <is>
          <t>E · Eliminate</t>
        </is>
      </c>
      <c r="B14" s="10" t="n"/>
      <c r="C14" s="10" t="n"/>
    </row>
    <row r="15" ht="44" customHeight="1">
      <c r="A15" s="14" t="inlineStr">
        <is>
          <t>R · Reverse</t>
        </is>
      </c>
      <c r="B15" s="10" t="n"/>
      <c r="C15" s="10" t="n"/>
    </row>
  </sheetData>
  <mergeCells count="5">
    <mergeCell ref="A1:C1"/>
    <mergeCell ref="A5:C5"/>
    <mergeCell ref="A6:C6"/>
    <mergeCell ref="A3:C3"/>
    <mergeCell ref="A2:C2"/>
  </mergeCells>
  <dataValidations count="1">
    <dataValidation sqref="C9:C15" showDropDown="0" showInputMessage="0" showErrorMessage="0" allowBlank="1" type="list">
      <formula1>"★"</formula1>
    </dataValidation>
  </dataValidation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G20"/>
  <sheetViews>
    <sheetView showGridLines="0" rightToLeft="0" zoomScale="110" workbookViewId="0">
      <selection activeCell="A1" sqref="A1"/>
    </sheetView>
  </sheetViews>
  <sheetFormatPr baseColWidth="8" defaultRowHeight="15"/>
  <cols>
    <col width="5" customWidth="1" min="1" max="1"/>
    <col width="5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InnovaForge Toolkit · 3.1</t>
        </is>
      </c>
    </row>
    <row r="2" ht="28" customHeight="1">
      <c r="A2" s="2" t="inlineStr">
        <is>
          <t>Assumptions</t>
        </is>
      </c>
    </row>
    <row r="3" ht="32" customHeight="1">
      <c r="A3" s="3" t="inlineStr">
        <is>
          <t>Importance and evidence from 1 to 5. Important assumptions with weak evidence come first.</t>
        </is>
      </c>
    </row>
    <row r="5" ht="30" customHeight="1">
      <c r="A5" s="8" t="inlineStr">
        <is>
          <t>#</t>
        </is>
      </c>
      <c r="B5" s="8" t="inlineStr">
        <is>
          <t>We believe that…</t>
        </is>
      </c>
      <c r="C5" s="8" t="inlineStr">
        <is>
          <t>Type</t>
        </is>
      </c>
      <c r="D5" s="8" t="inlineStr">
        <is>
          <t>Importance 1–5</t>
        </is>
      </c>
      <c r="E5" s="8" t="inlineStr">
        <is>
          <t>Evidence 1–5</t>
        </is>
      </c>
      <c r="F5" s="8" t="inlineStr">
        <is>
          <t>Risk score</t>
        </is>
      </c>
      <c r="G5" s="8" t="inlineStr">
        <is>
          <t>Quadrant</t>
        </is>
      </c>
    </row>
    <row r="6" ht="30" customHeight="1">
      <c r="A6" s="17" t="n">
        <v>1</v>
      </c>
      <c r="B6" s="10" t="n"/>
      <c r="C6" s="10" t="n"/>
      <c r="D6" s="10" t="n"/>
      <c r="E6" s="10" t="n"/>
      <c r="F6" s="18">
        <f>IF(OR(D6="",E6=""),"",D6*(6-E6))</f>
        <v/>
      </c>
      <c r="G6" s="18">
        <f>IF(F6="","",IF(D6&gt;=3,IF(E6&lt;=3,"Test first","Watch"),IF(E6&lt;=3,"Later","Park it")))</f>
        <v/>
      </c>
    </row>
    <row r="7" ht="30" customHeight="1">
      <c r="A7" s="17" t="n">
        <v>2</v>
      </c>
      <c r="B7" s="10" t="n"/>
      <c r="C7" s="10" t="n"/>
      <c r="D7" s="10" t="n"/>
      <c r="E7" s="10" t="n"/>
      <c r="F7" s="18">
        <f>IF(OR(D7="",E7=""),"",D7*(6-E7))</f>
        <v/>
      </c>
      <c r="G7" s="18">
        <f>IF(F7="","",IF(D7&gt;=3,IF(E7&lt;=3,"Test first","Watch"),IF(E7&lt;=3,"Later","Park it")))</f>
        <v/>
      </c>
    </row>
    <row r="8" ht="30" customHeight="1">
      <c r="A8" s="17" t="n">
        <v>3</v>
      </c>
      <c r="B8" s="10" t="n"/>
      <c r="C8" s="10" t="n"/>
      <c r="D8" s="10" t="n"/>
      <c r="E8" s="10" t="n"/>
      <c r="F8" s="18">
        <f>IF(OR(D8="",E8=""),"",D8*(6-E8))</f>
        <v/>
      </c>
      <c r="G8" s="18">
        <f>IF(F8="","",IF(D8&gt;=3,IF(E8&lt;=3,"Test first","Watch"),IF(E8&lt;=3,"Later","Park it")))</f>
        <v/>
      </c>
    </row>
    <row r="9" ht="30" customHeight="1">
      <c r="A9" s="17" t="n">
        <v>4</v>
      </c>
      <c r="B9" s="10" t="n"/>
      <c r="C9" s="10" t="n"/>
      <c r="D9" s="10" t="n"/>
      <c r="E9" s="10" t="n"/>
      <c r="F9" s="18">
        <f>IF(OR(D9="",E9=""),"",D9*(6-E9))</f>
        <v/>
      </c>
      <c r="G9" s="18">
        <f>IF(F9="","",IF(D9&gt;=3,IF(E9&lt;=3,"Test first","Watch"),IF(E9&lt;=3,"Later","Park it")))</f>
        <v/>
      </c>
    </row>
    <row r="10" ht="30" customHeight="1">
      <c r="A10" s="17" t="n">
        <v>5</v>
      </c>
      <c r="B10" s="10" t="n"/>
      <c r="C10" s="10" t="n"/>
      <c r="D10" s="10" t="n"/>
      <c r="E10" s="10" t="n"/>
      <c r="F10" s="18">
        <f>IF(OR(D10="",E10=""),"",D10*(6-E10))</f>
        <v/>
      </c>
      <c r="G10" s="18">
        <f>IF(F10="","",IF(D10&gt;=3,IF(E10&lt;=3,"Test first","Watch"),IF(E10&lt;=3,"Later","Park it")))</f>
        <v/>
      </c>
    </row>
    <row r="11" ht="30" customHeight="1">
      <c r="A11" s="17" t="n">
        <v>6</v>
      </c>
      <c r="B11" s="10" t="n"/>
      <c r="C11" s="10" t="n"/>
      <c r="D11" s="10" t="n"/>
      <c r="E11" s="10" t="n"/>
      <c r="F11" s="18">
        <f>IF(OR(D11="",E11=""),"",D11*(6-E11))</f>
        <v/>
      </c>
      <c r="G11" s="18">
        <f>IF(F11="","",IF(D11&gt;=3,IF(E11&lt;=3,"Test first","Watch"),IF(E11&lt;=3,"Later","Park it")))</f>
        <v/>
      </c>
    </row>
    <row r="12" ht="30" customHeight="1">
      <c r="A12" s="17" t="n">
        <v>7</v>
      </c>
      <c r="B12" s="10" t="n"/>
      <c r="C12" s="10" t="n"/>
      <c r="D12" s="10" t="n"/>
      <c r="E12" s="10" t="n"/>
      <c r="F12" s="18">
        <f>IF(OR(D12="",E12=""),"",D12*(6-E12))</f>
        <v/>
      </c>
      <c r="G12" s="18">
        <f>IF(F12="","",IF(D12&gt;=3,IF(E12&lt;=3,"Test first","Watch"),IF(E12&lt;=3,"Later","Park it")))</f>
        <v/>
      </c>
    </row>
    <row r="13" ht="30" customHeight="1">
      <c r="A13" s="17" t="n">
        <v>8</v>
      </c>
      <c r="B13" s="10" t="n"/>
      <c r="C13" s="10" t="n"/>
      <c r="D13" s="10" t="n"/>
      <c r="E13" s="10" t="n"/>
      <c r="F13" s="18">
        <f>IF(OR(D13="",E13=""),"",D13*(6-E13))</f>
        <v/>
      </c>
      <c r="G13" s="18">
        <f>IF(F13="","",IF(D13&gt;=3,IF(E13&lt;=3,"Test first","Watch"),IF(E13&lt;=3,"Later","Park it")))</f>
        <v/>
      </c>
    </row>
    <row r="14" ht="30" customHeight="1">
      <c r="A14" s="17" t="n">
        <v>9</v>
      </c>
      <c r="B14" s="10" t="n"/>
      <c r="C14" s="10" t="n"/>
      <c r="D14" s="10" t="n"/>
      <c r="E14" s="10" t="n"/>
      <c r="F14" s="18">
        <f>IF(OR(D14="",E14=""),"",D14*(6-E14))</f>
        <v/>
      </c>
      <c r="G14" s="18">
        <f>IF(F14="","",IF(D14&gt;=3,IF(E14&lt;=3,"Test first","Watch"),IF(E14&lt;=3,"Later","Park it")))</f>
        <v/>
      </c>
    </row>
    <row r="15" ht="30" customHeight="1">
      <c r="A15" s="17" t="n">
        <v>10</v>
      </c>
      <c r="B15" s="10" t="n"/>
      <c r="C15" s="10" t="n"/>
      <c r="D15" s="10" t="n"/>
      <c r="E15" s="10" t="n"/>
      <c r="F15" s="18">
        <f>IF(OR(D15="",E15=""),"",D15*(6-E15))</f>
        <v/>
      </c>
      <c r="G15" s="18">
        <f>IF(F15="","",IF(D15&gt;=3,IF(E15&lt;=3,"Test first","Watch"),IF(E15&lt;=3,"Later","Park it")))</f>
        <v/>
      </c>
    </row>
    <row r="16" ht="30" customHeight="1">
      <c r="A16" s="17" t="n">
        <v>11</v>
      </c>
      <c r="B16" s="10" t="n"/>
      <c r="C16" s="10" t="n"/>
      <c r="D16" s="10" t="n"/>
      <c r="E16" s="10" t="n"/>
      <c r="F16" s="18">
        <f>IF(OR(D16="",E16=""),"",D16*(6-E16))</f>
        <v/>
      </c>
      <c r="G16" s="18">
        <f>IF(F16="","",IF(D16&gt;=3,IF(E16&lt;=3,"Test first","Watch"),IF(E16&lt;=3,"Later","Park it")))</f>
        <v/>
      </c>
    </row>
    <row r="17" ht="30" customHeight="1">
      <c r="A17" s="17" t="n">
        <v>12</v>
      </c>
      <c r="B17" s="10" t="n"/>
      <c r="C17" s="10" t="n"/>
      <c r="D17" s="10" t="n"/>
      <c r="E17" s="10" t="n"/>
      <c r="F17" s="18">
        <f>IF(OR(D17="",E17=""),"",D17*(6-E17))</f>
        <v/>
      </c>
      <c r="G17" s="18">
        <f>IF(F17="","",IF(D17&gt;=3,IF(E17&lt;=3,"Test first","Watch"),IF(E17&lt;=3,"Later","Park it")))</f>
        <v/>
      </c>
    </row>
    <row r="18" ht="30" customHeight="1">
      <c r="A18" s="17" t="n">
        <v>13</v>
      </c>
      <c r="B18" s="10" t="n"/>
      <c r="C18" s="10" t="n"/>
      <c r="D18" s="10" t="n"/>
      <c r="E18" s="10" t="n"/>
      <c r="F18" s="18">
        <f>IF(OR(D18="",E18=""),"",D18*(6-E18))</f>
        <v/>
      </c>
      <c r="G18" s="18">
        <f>IF(F18="","",IF(D18&gt;=3,IF(E18&lt;=3,"Test first","Watch"),IF(E18&lt;=3,"Later","Park it")))</f>
        <v/>
      </c>
    </row>
    <row r="19" ht="30" customHeight="1">
      <c r="A19" s="17" t="n">
        <v>14</v>
      </c>
      <c r="B19" s="10" t="n"/>
      <c r="C19" s="10" t="n"/>
      <c r="D19" s="10" t="n"/>
      <c r="E19" s="10" t="n"/>
      <c r="F19" s="18">
        <f>IF(OR(D19="",E19=""),"",D19*(6-E19))</f>
        <v/>
      </c>
      <c r="G19" s="18">
        <f>IF(F19="","",IF(D19&gt;=3,IF(E19&lt;=3,"Test first","Watch"),IF(E19&lt;=3,"Later","Park it")))</f>
        <v/>
      </c>
    </row>
    <row r="20" ht="30" customHeight="1">
      <c r="A20" s="17" t="n">
        <v>15</v>
      </c>
      <c r="B20" s="10" t="n"/>
      <c r="C20" s="10" t="n"/>
      <c r="D20" s="10" t="n"/>
      <c r="E20" s="10" t="n"/>
      <c r="F20" s="18">
        <f>IF(OR(D20="",E20=""),"",D20*(6-E20))</f>
        <v/>
      </c>
      <c r="G20" s="18">
        <f>IF(F20="","",IF(D20&gt;=3,IF(E20&lt;=3,"Test first","Watch"),IF(E20&lt;=3,"Later","Park it")))</f>
        <v/>
      </c>
    </row>
  </sheetData>
  <mergeCells count="3">
    <mergeCell ref="A3:G3"/>
    <mergeCell ref="A2:G2"/>
    <mergeCell ref="A1:G1"/>
  </mergeCells>
  <conditionalFormatting sqref="G6:G20">
    <cfRule type="expression" priority="1" dxfId="1">
      <formula>G6="Test first"</formula>
    </cfRule>
  </conditionalFormatting>
  <dataValidations count="2">
    <dataValidation sqref="C6:C20" showDropDown="0" showInputMessage="0" showErrorMessage="0" allowBlank="1" type="list">
      <formula1>"Desirable,Feasible,Viable"</formula1>
    </dataValidation>
    <dataValidation sqref="D6:E20" showDropDown="0" showInputMessage="0" showErrorMessage="0" allowBlank="1" error="Enter a whole number from 1 to 5." type="whole" operator="between">
      <formula1>1</formula1>
      <formula2>5</formula2>
    </dataValidation>
  </dataValidation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I17"/>
  <sheetViews>
    <sheetView showGridLines="0" rightToLeft="0" zoomScale="11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16" customWidth="1" min="4" max="4"/>
    <col width="10" customWidth="1" min="5" max="5"/>
    <col width="22" customWidth="1" min="6" max="6"/>
    <col width="28" customWidth="1" min="7" max="7"/>
    <col width="28" customWidth="1" min="8" max="8"/>
    <col width="14" customWidth="1" min="9" max="9"/>
  </cols>
  <sheetData>
    <row r="1">
      <c r="A1" s="1" t="inlineStr">
        <is>
          <t>InnovaForge Toolkit · 3.2</t>
        </is>
      </c>
    </row>
    <row r="2" ht="28" customHeight="1">
      <c r="A2" s="2" t="inlineStr">
        <is>
          <t>Tests</t>
        </is>
      </c>
    </row>
    <row r="3" ht="32" customHeight="1">
      <c r="A3" s="3" t="inlineStr">
        <is>
          <t>One row per test. Write “We are right if…” before the test runs.</t>
        </is>
      </c>
    </row>
    <row r="5" ht="30" customHeight="1">
      <c r="A5" s="8" t="inlineStr">
        <is>
          <t>#</t>
        </is>
      </c>
      <c r="B5" s="8" t="inlineStr">
        <is>
          <t>Assumption #</t>
        </is>
      </c>
      <c r="C5" s="8" t="inlineStr">
        <is>
          <t>We believe that…</t>
        </is>
      </c>
      <c r="D5" s="8" t="inlineStr">
        <is>
          <t>Method</t>
        </is>
      </c>
      <c r="E5" s="8" t="inlineStr">
        <is>
          <t>Users</t>
        </is>
      </c>
      <c r="F5" s="8" t="inlineStr">
        <is>
          <t>We measure</t>
        </is>
      </c>
      <c r="G5" s="8" t="inlineStr">
        <is>
          <t>We are right if…</t>
        </is>
      </c>
      <c r="H5" s="8" t="inlineStr">
        <is>
          <t>What happened</t>
        </is>
      </c>
      <c r="I5" s="8" t="inlineStr">
        <is>
          <t>Verdict</t>
        </is>
      </c>
    </row>
    <row r="6" ht="36" customHeight="1">
      <c r="A6" s="17" t="n">
        <v>1</v>
      </c>
      <c r="B6" s="10" t="n"/>
      <c r="C6" s="10" t="n"/>
      <c r="D6" s="10" t="n"/>
      <c r="E6" s="10" t="n"/>
      <c r="F6" s="10" t="n"/>
      <c r="G6" s="10" t="n"/>
      <c r="H6" s="10" t="n"/>
      <c r="I6" s="10" t="n"/>
    </row>
    <row r="7" ht="36" customHeight="1">
      <c r="A7" s="17" t="n">
        <v>2</v>
      </c>
      <c r="B7" s="10" t="n"/>
      <c r="C7" s="10" t="n"/>
      <c r="D7" s="10" t="n"/>
      <c r="E7" s="10" t="n"/>
      <c r="F7" s="10" t="n"/>
      <c r="G7" s="10" t="n"/>
      <c r="H7" s="10" t="n"/>
      <c r="I7" s="10" t="n"/>
    </row>
    <row r="8" ht="36" customHeight="1">
      <c r="A8" s="17" t="n">
        <v>3</v>
      </c>
      <c r="B8" s="10" t="n"/>
      <c r="C8" s="10" t="n"/>
      <c r="D8" s="10" t="n"/>
      <c r="E8" s="10" t="n"/>
      <c r="F8" s="10" t="n"/>
      <c r="G8" s="10" t="n"/>
      <c r="H8" s="10" t="n"/>
      <c r="I8" s="10" t="n"/>
    </row>
    <row r="9" ht="36" customHeight="1">
      <c r="A9" s="17" t="n">
        <v>4</v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 ht="36" customHeight="1">
      <c r="A10" s="17" t="n">
        <v>5</v>
      </c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 ht="36" customHeight="1">
      <c r="A11" s="17" t="n">
        <v>6</v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 ht="36" customHeight="1">
      <c r="A12" s="17" t="n">
        <v>7</v>
      </c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36" customHeight="1">
      <c r="A13" s="17" t="n">
        <v>8</v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 ht="36" customHeight="1">
      <c r="A14" s="17" t="n">
        <v>9</v>
      </c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 ht="36" customHeight="1">
      <c r="A15" s="17" t="n">
        <v>10</v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 ht="36" customHeight="1">
      <c r="A16" s="17" t="n">
        <v>11</v>
      </c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 ht="36" customHeight="1">
      <c r="A17" s="17" t="n">
        <v>12</v>
      </c>
      <c r="B17" s="10" t="n"/>
      <c r="C17" s="10" t="n"/>
      <c r="D17" s="10" t="n"/>
      <c r="E17" s="10" t="n"/>
      <c r="F17" s="10" t="n"/>
      <c r="G17" s="10" t="n"/>
      <c r="H17" s="10" t="n"/>
      <c r="I17" s="10" t="n"/>
    </row>
  </sheetData>
  <mergeCells count="3">
    <mergeCell ref="A1:I1"/>
    <mergeCell ref="A3:I3"/>
    <mergeCell ref="A2:I2"/>
  </mergeCells>
  <dataValidations count="3">
    <dataValidation sqref="D6:D17" showDropDown="0" showInputMessage="0" showErrorMessage="0" allowBlank="1" type="list">
      <formula1>"Interviews,Analytics,A/B test,Usability test"</formula1>
    </dataValidation>
    <dataValidation sqref="I6:I17" showDropDown="0" showInputMessage="0" showErrorMessage="0" allowBlank="1" type="list">
      <formula1>"Validated,Invalidated"</formula1>
    </dataValidation>
    <dataValidation sqref="E6:E17" showDropDown="0" showInputMessage="0" showErrorMessage="0" allowBlank="1" error="Enter a whole number from 0 to 10000." type="whole" operator="between">
      <formula1>0</formula1>
      <formula2>10000</formula2>
    </dataValidation>
  </dataValidation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F35"/>
  <sheetViews>
    <sheetView showGridLines="0" rightToLeft="0" zoomScale="11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34" customWidth="1" min="4" max="4"/>
    <col width="24" customWidth="1" min="5" max="5"/>
    <col width="14" customWidth="1" min="6" max="6"/>
  </cols>
  <sheetData>
    <row r="1">
      <c r="A1" s="1" t="inlineStr">
        <is>
          <t>InnovaForge Toolkit · 3.3</t>
        </is>
      </c>
    </row>
    <row r="2" ht="28" customHeight="1">
      <c r="A2" s="2" t="inlineStr">
        <is>
          <t>Feedback log</t>
        </is>
      </c>
    </row>
    <row r="3" ht="32" customHeight="1">
      <c r="A3" s="3" t="inlineStr">
        <is>
          <t>Five to ten users per cycle. What they did comes before what they said.</t>
        </is>
      </c>
    </row>
    <row r="5" ht="30" customHeight="1">
      <c r="A5" s="8" t="inlineStr">
        <is>
          <t>Cycle</t>
        </is>
      </c>
      <c r="B5" s="8" t="inlineStr">
        <is>
          <t>User</t>
        </is>
      </c>
      <c r="C5" s="8" t="inlineStr">
        <is>
          <t>What they did</t>
        </is>
      </c>
      <c r="D5" s="8" t="inlineStr">
        <is>
          <t>What they said</t>
        </is>
      </c>
      <c r="E5" s="8" t="inlineStr">
        <is>
          <t>Surprise</t>
        </is>
      </c>
      <c r="F5" s="8" t="inlineStr">
        <is>
          <t>Assumption ±</t>
        </is>
      </c>
    </row>
    <row r="6" ht="30" customHeight="1">
      <c r="A6" s="10" t="n"/>
      <c r="B6" s="10" t="n"/>
      <c r="C6" s="10" t="n"/>
      <c r="D6" s="10" t="n"/>
      <c r="E6" s="10" t="n"/>
      <c r="F6" s="10" t="n"/>
    </row>
    <row r="7" ht="30" customHeight="1">
      <c r="A7" s="10" t="n"/>
      <c r="B7" s="10" t="n"/>
      <c r="C7" s="10" t="n"/>
      <c r="D7" s="10" t="n"/>
      <c r="E7" s="10" t="n"/>
      <c r="F7" s="10" t="n"/>
    </row>
    <row r="8" ht="30" customHeight="1">
      <c r="A8" s="10" t="n"/>
      <c r="B8" s="10" t="n"/>
      <c r="C8" s="10" t="n"/>
      <c r="D8" s="10" t="n"/>
      <c r="E8" s="10" t="n"/>
      <c r="F8" s="10" t="n"/>
    </row>
    <row r="9" ht="30" customHeight="1">
      <c r="A9" s="10" t="n"/>
      <c r="B9" s="10" t="n"/>
      <c r="C9" s="10" t="n"/>
      <c r="D9" s="10" t="n"/>
      <c r="E9" s="10" t="n"/>
      <c r="F9" s="10" t="n"/>
    </row>
    <row r="10" ht="30" customHeight="1">
      <c r="A10" s="10" t="n"/>
      <c r="B10" s="10" t="n"/>
      <c r="C10" s="10" t="n"/>
      <c r="D10" s="10" t="n"/>
      <c r="E10" s="10" t="n"/>
      <c r="F10" s="10" t="n"/>
    </row>
    <row r="11" ht="30" customHeight="1">
      <c r="A11" s="10" t="n"/>
      <c r="B11" s="10" t="n"/>
      <c r="C11" s="10" t="n"/>
      <c r="D11" s="10" t="n"/>
      <c r="E11" s="10" t="n"/>
      <c r="F11" s="10" t="n"/>
    </row>
    <row r="12" ht="30" customHeight="1">
      <c r="A12" s="10" t="n"/>
      <c r="B12" s="10" t="n"/>
      <c r="C12" s="10" t="n"/>
      <c r="D12" s="10" t="n"/>
      <c r="E12" s="10" t="n"/>
      <c r="F12" s="10" t="n"/>
    </row>
    <row r="13" ht="30" customHeight="1">
      <c r="A13" s="10" t="n"/>
      <c r="B13" s="10" t="n"/>
      <c r="C13" s="10" t="n"/>
      <c r="D13" s="10" t="n"/>
      <c r="E13" s="10" t="n"/>
      <c r="F13" s="10" t="n"/>
    </row>
    <row r="14" ht="30" customHeight="1">
      <c r="A14" s="10" t="n"/>
      <c r="B14" s="10" t="n"/>
      <c r="C14" s="10" t="n"/>
      <c r="D14" s="10" t="n"/>
      <c r="E14" s="10" t="n"/>
      <c r="F14" s="10" t="n"/>
    </row>
    <row r="15" ht="30" customHeight="1">
      <c r="A15" s="10" t="n"/>
      <c r="B15" s="10" t="n"/>
      <c r="C15" s="10" t="n"/>
      <c r="D15" s="10" t="n"/>
      <c r="E15" s="10" t="n"/>
      <c r="F15" s="10" t="n"/>
    </row>
    <row r="16" ht="30" customHeight="1">
      <c r="A16" s="10" t="n"/>
      <c r="B16" s="10" t="n"/>
      <c r="C16" s="10" t="n"/>
      <c r="D16" s="10" t="n"/>
      <c r="E16" s="10" t="n"/>
      <c r="F16" s="10" t="n"/>
    </row>
    <row r="17" ht="30" customHeight="1">
      <c r="A17" s="10" t="n"/>
      <c r="B17" s="10" t="n"/>
      <c r="C17" s="10" t="n"/>
      <c r="D17" s="10" t="n"/>
      <c r="E17" s="10" t="n"/>
      <c r="F17" s="10" t="n"/>
    </row>
    <row r="18" ht="30" customHeight="1">
      <c r="A18" s="10" t="n"/>
      <c r="B18" s="10" t="n"/>
      <c r="C18" s="10" t="n"/>
      <c r="D18" s="10" t="n"/>
      <c r="E18" s="10" t="n"/>
      <c r="F18" s="10" t="n"/>
    </row>
    <row r="19" ht="30" customHeight="1">
      <c r="A19" s="10" t="n"/>
      <c r="B19" s="10" t="n"/>
      <c r="C19" s="10" t="n"/>
      <c r="D19" s="10" t="n"/>
      <c r="E19" s="10" t="n"/>
      <c r="F19" s="10" t="n"/>
    </row>
    <row r="20" ht="30" customHeight="1">
      <c r="A20" s="10" t="n"/>
      <c r="B20" s="10" t="n"/>
      <c r="C20" s="10" t="n"/>
      <c r="D20" s="10" t="n"/>
      <c r="E20" s="10" t="n"/>
      <c r="F20" s="10" t="n"/>
    </row>
    <row r="21" ht="30" customHeight="1">
      <c r="A21" s="10" t="n"/>
      <c r="B21" s="10" t="n"/>
      <c r="C21" s="10" t="n"/>
      <c r="D21" s="10" t="n"/>
      <c r="E21" s="10" t="n"/>
      <c r="F21" s="10" t="n"/>
    </row>
    <row r="22" ht="30" customHeight="1">
      <c r="A22" s="10" t="n"/>
      <c r="B22" s="10" t="n"/>
      <c r="C22" s="10" t="n"/>
      <c r="D22" s="10" t="n"/>
      <c r="E22" s="10" t="n"/>
      <c r="F22" s="10" t="n"/>
    </row>
    <row r="23" ht="30" customHeight="1">
      <c r="A23" s="10" t="n"/>
      <c r="B23" s="10" t="n"/>
      <c r="C23" s="10" t="n"/>
      <c r="D23" s="10" t="n"/>
      <c r="E23" s="10" t="n"/>
      <c r="F23" s="10" t="n"/>
    </row>
    <row r="24" ht="30" customHeight="1">
      <c r="A24" s="10" t="n"/>
      <c r="B24" s="10" t="n"/>
      <c r="C24" s="10" t="n"/>
      <c r="D24" s="10" t="n"/>
      <c r="E24" s="10" t="n"/>
      <c r="F24" s="10" t="n"/>
    </row>
    <row r="25" ht="30" customHeight="1">
      <c r="A25" s="10" t="n"/>
      <c r="B25" s="10" t="n"/>
      <c r="C25" s="10" t="n"/>
      <c r="D25" s="10" t="n"/>
      <c r="E25" s="10" t="n"/>
      <c r="F25" s="10" t="n"/>
    </row>
    <row r="26" ht="30" customHeight="1">
      <c r="A26" s="10" t="n"/>
      <c r="B26" s="10" t="n"/>
      <c r="C26" s="10" t="n"/>
      <c r="D26" s="10" t="n"/>
      <c r="E26" s="10" t="n"/>
      <c r="F26" s="10" t="n"/>
    </row>
    <row r="27" ht="30" customHeight="1">
      <c r="A27" s="10" t="n"/>
      <c r="B27" s="10" t="n"/>
      <c r="C27" s="10" t="n"/>
      <c r="D27" s="10" t="n"/>
      <c r="E27" s="10" t="n"/>
      <c r="F27" s="10" t="n"/>
    </row>
    <row r="28" ht="30" customHeight="1">
      <c r="A28" s="10" t="n"/>
      <c r="B28" s="10" t="n"/>
      <c r="C28" s="10" t="n"/>
      <c r="D28" s="10" t="n"/>
      <c r="E28" s="10" t="n"/>
      <c r="F28" s="10" t="n"/>
    </row>
    <row r="29" ht="30" customHeight="1">
      <c r="A29" s="10" t="n"/>
      <c r="B29" s="10" t="n"/>
      <c r="C29" s="10" t="n"/>
      <c r="D29" s="10" t="n"/>
      <c r="E29" s="10" t="n"/>
      <c r="F29" s="10" t="n"/>
    </row>
    <row r="30" ht="30" customHeight="1">
      <c r="A30" s="10" t="n"/>
      <c r="B30" s="10" t="n"/>
      <c r="C30" s="10" t="n"/>
      <c r="D30" s="10" t="n"/>
      <c r="E30" s="10" t="n"/>
      <c r="F30" s="10" t="n"/>
    </row>
    <row r="31" ht="30" customHeight="1">
      <c r="A31" s="10" t="n"/>
      <c r="B31" s="10" t="n"/>
      <c r="C31" s="10" t="n"/>
      <c r="D31" s="10" t="n"/>
      <c r="E31" s="10" t="n"/>
      <c r="F31" s="10" t="n"/>
    </row>
    <row r="32" ht="30" customHeight="1">
      <c r="A32" s="10" t="n"/>
      <c r="B32" s="10" t="n"/>
      <c r="C32" s="10" t="n"/>
      <c r="D32" s="10" t="n"/>
      <c r="E32" s="10" t="n"/>
      <c r="F32" s="10" t="n"/>
    </row>
    <row r="33" ht="30" customHeight="1">
      <c r="A33" s="10" t="n"/>
      <c r="B33" s="10" t="n"/>
      <c r="C33" s="10" t="n"/>
      <c r="D33" s="10" t="n"/>
      <c r="E33" s="10" t="n"/>
      <c r="F33" s="10" t="n"/>
    </row>
    <row r="34" ht="30" customHeight="1">
      <c r="A34" s="10" t="n"/>
      <c r="B34" s="10" t="n"/>
      <c r="C34" s="10" t="n"/>
      <c r="D34" s="10" t="n"/>
      <c r="E34" s="10" t="n"/>
      <c r="F34" s="10" t="n"/>
    </row>
    <row r="35" ht="30" customHeight="1">
      <c r="A35" s="10" t="n"/>
      <c r="B35" s="10" t="n"/>
      <c r="C35" s="10" t="n"/>
      <c r="D35" s="10" t="n"/>
      <c r="E35" s="10" t="n"/>
      <c r="F35" s="10" t="n"/>
    </row>
  </sheetData>
  <mergeCells count="3">
    <mergeCell ref="A3:F3"/>
    <mergeCell ref="A2:F2"/>
    <mergeCell ref="A1:F1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E21"/>
  <sheetViews>
    <sheetView showGridLines="0" rightToLeft="0" zoomScale="11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4" customWidth="1" min="4" max="4"/>
    <col width="14" customWidth="1" min="5" max="5"/>
  </cols>
  <sheetData>
    <row r="1">
      <c r="A1" s="1" t="inlineStr">
        <is>
          <t>InnovaForge Toolkit · 3.5</t>
        </is>
      </c>
    </row>
    <row r="2" ht="28" customHeight="1">
      <c r="A2" s="2" t="inlineStr">
        <is>
          <t>Build–Measure–Learn</t>
        </is>
      </c>
    </row>
    <row r="3" ht="32" customHeight="1">
      <c r="A3" s="3" t="inlineStr">
        <is>
          <t>Every cycle ends in a decision on evidence: persevere, or pivot.</t>
        </is>
      </c>
    </row>
    <row r="5" ht="30" customHeight="1">
      <c r="A5" s="8" t="inlineStr">
        <is>
          <t>Cycle</t>
        </is>
      </c>
      <c r="B5" s="8" t="inlineStr">
        <is>
          <t>What we built</t>
        </is>
      </c>
      <c r="C5" s="8" t="inlineStr">
        <is>
          <t>What we measured</t>
        </is>
      </c>
      <c r="D5" s="8" t="inlineStr">
        <is>
          <t>What we learned</t>
        </is>
      </c>
      <c r="E5" s="8" t="inlineStr">
        <is>
          <t>Decision</t>
        </is>
      </c>
    </row>
    <row r="6" ht="44" customHeight="1">
      <c r="A6" s="17" t="n">
        <v>1</v>
      </c>
      <c r="B6" s="10" t="n"/>
      <c r="C6" s="10" t="n"/>
      <c r="D6" s="10" t="n"/>
      <c r="E6" s="10" t="n"/>
    </row>
    <row r="7" ht="44" customHeight="1">
      <c r="A7" s="17" t="n">
        <v>2</v>
      </c>
      <c r="B7" s="10" t="n"/>
      <c r="C7" s="10" t="n"/>
      <c r="D7" s="10" t="n"/>
      <c r="E7" s="10" t="n"/>
    </row>
    <row r="8" ht="44" customHeight="1">
      <c r="A8" s="17" t="n">
        <v>3</v>
      </c>
      <c r="B8" s="10" t="n"/>
      <c r="C8" s="10" t="n"/>
      <c r="D8" s="10" t="n"/>
      <c r="E8" s="10" t="n"/>
    </row>
    <row r="9" ht="44" customHeight="1">
      <c r="A9" s="17" t="n">
        <v>4</v>
      </c>
      <c r="B9" s="10" t="n"/>
      <c r="C9" s="10" t="n"/>
      <c r="D9" s="10" t="n"/>
      <c r="E9" s="10" t="n"/>
    </row>
    <row r="10" ht="44" customHeight="1">
      <c r="A10" s="17" t="n">
        <v>5</v>
      </c>
      <c r="B10" s="10" t="n"/>
      <c r="C10" s="10" t="n"/>
      <c r="D10" s="10" t="n"/>
      <c r="E10" s="10" t="n"/>
    </row>
    <row r="11" ht="44" customHeight="1">
      <c r="A11" s="17" t="n">
        <v>6</v>
      </c>
      <c r="B11" s="10" t="n"/>
      <c r="C11" s="10" t="n"/>
      <c r="D11" s="10" t="n"/>
      <c r="E11" s="10" t="n"/>
    </row>
    <row r="12" ht="44" customHeight="1">
      <c r="A12" s="17" t="n">
        <v>7</v>
      </c>
      <c r="B12" s="10" t="n"/>
      <c r="C12" s="10" t="n"/>
      <c r="D12" s="10" t="n"/>
      <c r="E12" s="10" t="n"/>
    </row>
    <row r="13" ht="44" customHeight="1">
      <c r="A13" s="17" t="n">
        <v>8</v>
      </c>
      <c r="B13" s="10" t="n"/>
      <c r="C13" s="10" t="n"/>
      <c r="D13" s="10" t="n"/>
      <c r="E13" s="10" t="n"/>
    </row>
    <row r="15" ht="20" customHeight="1">
      <c r="A15" s="6" t="inlineStr">
        <is>
          <t>Pivot record</t>
        </is>
      </c>
    </row>
    <row r="16" ht="30" customHeight="1">
      <c r="A16" s="8" t="inlineStr">
        <is>
          <t>From</t>
        </is>
      </c>
      <c r="B16" s="8" t="inlineStr">
        <is>
          <t>To</t>
        </is>
      </c>
      <c r="C16" s="8" t="inlineStr">
        <is>
          <t>The evidence that made us turn</t>
        </is>
      </c>
      <c r="D16" s="8" t="inlineStr"/>
      <c r="E16" s="8" t="inlineStr"/>
    </row>
    <row r="17" ht="36" customHeight="1">
      <c r="A17" s="10" t="n"/>
      <c r="B17" s="10" t="n"/>
      <c r="C17" s="10" t="n"/>
      <c r="D17" s="10" t="n"/>
      <c r="E17" s="10" t="n"/>
    </row>
    <row r="18" ht="36" customHeight="1">
      <c r="A18" s="10" t="n"/>
      <c r="B18" s="10" t="n"/>
      <c r="C18" s="10" t="n"/>
      <c r="D18" s="10" t="n"/>
      <c r="E18" s="10" t="n"/>
    </row>
    <row r="19" ht="36" customHeight="1">
      <c r="A19" s="10" t="n"/>
      <c r="B19" s="10" t="n"/>
      <c r="C19" s="10" t="n"/>
      <c r="D19" s="10" t="n"/>
      <c r="E19" s="10" t="n"/>
    </row>
    <row r="20" ht="36" customHeight="1">
      <c r="A20" s="10" t="n"/>
      <c r="B20" s="10" t="n"/>
      <c r="C20" s="10" t="n"/>
      <c r="D20" s="10" t="n"/>
      <c r="E20" s="10" t="n"/>
    </row>
    <row r="21" ht="36" customHeight="1">
      <c r="A21" s="10" t="n"/>
      <c r="B21" s="10" t="n"/>
      <c r="C21" s="10" t="n"/>
      <c r="D21" s="10" t="n"/>
      <c r="E21" s="10" t="n"/>
    </row>
  </sheetData>
  <mergeCells count="4">
    <mergeCell ref="A2:E2"/>
    <mergeCell ref="A15:E15"/>
    <mergeCell ref="A1:E1"/>
    <mergeCell ref="A3:E3"/>
  </mergeCells>
  <dataValidations count="1">
    <dataValidation sqref="E6:E13" showDropDown="0" showInputMessage="0" showErrorMessage="0" allowBlank="1" type="list">
      <formula1>"Persevere,Pivot"</formula1>
    </dataValidation>
  </dataValidation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B13"/>
  <sheetViews>
    <sheetView showGridLines="0" rightToLeft="0" zoomScale="110"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InnovaForge Toolkit · 4.1</t>
        </is>
      </c>
    </row>
    <row r="2" ht="28" customHeight="1">
      <c r="A2" s="2" t="inlineStr">
        <is>
          <t>SWOT</t>
        </is>
      </c>
    </row>
    <row r="3" ht="32" customHeight="1">
      <c r="A3" s="3" t="inlineStr">
        <is>
          <t>Tie the solution to the mission first; then pair the quadrants into roadmap items and risks.</t>
        </is>
      </c>
    </row>
    <row r="5" ht="20" customHeight="1">
      <c r="A5" s="6" t="inlineStr">
        <is>
          <t>The line of our mission or strategy it serves, and how</t>
        </is>
      </c>
    </row>
    <row r="6" ht="44" customHeight="1">
      <c r="A6" s="15" t="n"/>
      <c r="B6" s="16" t="n"/>
    </row>
    <row r="8" ht="30" customHeight="1">
      <c r="A8" s="8" t="inlineStr">
        <is>
          <t>Strengths (inside)</t>
        </is>
      </c>
      <c r="B8" s="8" t="inlineStr">
        <is>
          <t>Weaknesses (inside)</t>
        </is>
      </c>
    </row>
    <row r="9" ht="120" customHeight="1">
      <c r="A9" s="10" t="n"/>
      <c r="B9" s="10" t="n"/>
    </row>
    <row r="10" ht="30" customHeight="1">
      <c r="A10" s="8" t="inlineStr">
        <is>
          <t>Opportunities (outside)</t>
        </is>
      </c>
      <c r="B10" s="8" t="inlineStr">
        <is>
          <t>Threats (outside)</t>
        </is>
      </c>
    </row>
    <row r="11" ht="120" customHeight="1">
      <c r="A11" s="10" t="n"/>
      <c r="B11" s="10" t="n"/>
    </row>
    <row r="12" ht="30" customHeight="1">
      <c r="A12" s="8" t="inlineStr">
        <is>
          <t>Strength × opportunity → roadmap item</t>
        </is>
      </c>
      <c r="B12" s="8" t="inlineStr">
        <is>
          <t>Weakness × threat → risk</t>
        </is>
      </c>
    </row>
    <row r="13" ht="80" customHeight="1">
      <c r="A13" s="10" t="n"/>
      <c r="B13" s="10" t="n"/>
    </row>
  </sheetData>
  <mergeCells count="5">
    <mergeCell ref="A2:B2"/>
    <mergeCell ref="A5:B5"/>
    <mergeCell ref="A1:B1"/>
    <mergeCell ref="A3:B3"/>
    <mergeCell ref="A6:B6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H17"/>
  <sheetViews>
    <sheetView showGridLines="0" rightToLeft="0" zoomScale="11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2" customWidth="1" min="8" max="8"/>
  </cols>
  <sheetData>
    <row r="1">
      <c r="A1" s="1" t="inlineStr">
        <is>
          <t>InnovaForge Toolkit · 4.3</t>
        </is>
      </c>
    </row>
    <row r="2" ht="28" customHeight="1">
      <c r="A2" s="2" t="inlineStr">
        <is>
          <t>OKRs</t>
        </is>
      </c>
    </row>
    <row r="3" ht="32" customHeight="1">
      <c r="A3" s="3" t="inlineStr">
        <is>
          <t>Each key result needs a baseline and a target. Enter the current value to see progress; Polish tracks these.</t>
        </is>
      </c>
    </row>
    <row r="5" ht="30" customHeight="1">
      <c r="A5" s="8" t="inlineStr">
        <is>
          <t>Objective</t>
        </is>
      </c>
      <c r="B5" s="8" t="inlineStr">
        <is>
          <t>Key result</t>
        </is>
      </c>
      <c r="C5" s="8" t="inlineStr">
        <is>
          <t>Baseline</t>
        </is>
      </c>
      <c r="D5" s="8" t="inlineStr">
        <is>
          <t>Target</t>
        </is>
      </c>
      <c r="E5" s="8" t="inlineStr">
        <is>
          <t>Current</t>
        </is>
      </c>
      <c r="F5" s="8" t="inlineStr">
        <is>
          <t>Progress</t>
        </is>
      </c>
      <c r="G5" s="8" t="inlineStr">
        <is>
          <t>Owner</t>
        </is>
      </c>
      <c r="H5" s="8" t="inlineStr">
        <is>
          <t>By</t>
        </is>
      </c>
    </row>
    <row r="6" ht="30" customHeight="1">
      <c r="A6" s="10" t="n"/>
      <c r="B6" s="10" t="n"/>
      <c r="C6" s="10" t="n"/>
      <c r="D6" s="10" t="n"/>
      <c r="E6" s="10" t="n"/>
      <c r="F6" s="19">
        <f>IF(OR(C6="",D6="",E6="",D6=C6),"",(E6-C6)/(D6-C6))</f>
        <v/>
      </c>
      <c r="G6" s="10" t="n"/>
      <c r="H6" s="10" t="n"/>
    </row>
    <row r="7" ht="30" customHeight="1">
      <c r="A7" s="20" t="n"/>
      <c r="B7" s="10" t="n"/>
      <c r="C7" s="10" t="n"/>
      <c r="D7" s="10" t="n"/>
      <c r="E7" s="10" t="n"/>
      <c r="F7" s="19">
        <f>IF(OR(C7="",D7="",E7="",D7=C7),"",(E7-C7)/(D7-C7))</f>
        <v/>
      </c>
      <c r="G7" s="10" t="n"/>
      <c r="H7" s="10" t="n"/>
    </row>
    <row r="8" ht="30" customHeight="1">
      <c r="A8" s="21" t="n"/>
      <c r="B8" s="10" t="n"/>
      <c r="C8" s="10" t="n"/>
      <c r="D8" s="10" t="n"/>
      <c r="E8" s="10" t="n"/>
      <c r="F8" s="19">
        <f>IF(OR(C8="",D8="",E8="",D8=C8),"",(E8-C8)/(D8-C8))</f>
        <v/>
      </c>
      <c r="G8" s="10" t="n"/>
      <c r="H8" s="10" t="n"/>
    </row>
    <row r="9" ht="30" customHeight="1">
      <c r="A9" s="10" t="n"/>
      <c r="B9" s="10" t="n"/>
      <c r="C9" s="10" t="n"/>
      <c r="D9" s="10" t="n"/>
      <c r="E9" s="10" t="n"/>
      <c r="F9" s="19">
        <f>IF(OR(C9="",D9="",E9="",D9=C9),"",(E9-C9)/(D9-C9))</f>
        <v/>
      </c>
      <c r="G9" s="10" t="n"/>
      <c r="H9" s="10" t="n"/>
    </row>
    <row r="10" ht="30" customHeight="1">
      <c r="A10" s="20" t="n"/>
      <c r="B10" s="10" t="n"/>
      <c r="C10" s="10" t="n"/>
      <c r="D10" s="10" t="n"/>
      <c r="E10" s="10" t="n"/>
      <c r="F10" s="19">
        <f>IF(OR(C10="",D10="",E10="",D10=C10),"",(E10-C10)/(D10-C10))</f>
        <v/>
      </c>
      <c r="G10" s="10" t="n"/>
      <c r="H10" s="10" t="n"/>
    </row>
    <row r="11" ht="30" customHeight="1">
      <c r="A11" s="21" t="n"/>
      <c r="B11" s="10" t="n"/>
      <c r="C11" s="10" t="n"/>
      <c r="D11" s="10" t="n"/>
      <c r="E11" s="10" t="n"/>
      <c r="F11" s="19">
        <f>IF(OR(C11="",D11="",E11="",D11=C11),"",(E11-C11)/(D11-C11))</f>
        <v/>
      </c>
      <c r="G11" s="10" t="n"/>
      <c r="H11" s="10" t="n"/>
    </row>
    <row r="12" ht="30" customHeight="1">
      <c r="A12" s="10" t="n"/>
      <c r="B12" s="10" t="n"/>
      <c r="C12" s="10" t="n"/>
      <c r="D12" s="10" t="n"/>
      <c r="E12" s="10" t="n"/>
      <c r="F12" s="19">
        <f>IF(OR(C12="",D12="",E12="",D12=C12),"",(E12-C12)/(D12-C12))</f>
        <v/>
      </c>
      <c r="G12" s="10" t="n"/>
      <c r="H12" s="10" t="n"/>
    </row>
    <row r="13" ht="30" customHeight="1">
      <c r="A13" s="20" t="n"/>
      <c r="B13" s="10" t="n"/>
      <c r="C13" s="10" t="n"/>
      <c r="D13" s="10" t="n"/>
      <c r="E13" s="10" t="n"/>
      <c r="F13" s="19">
        <f>IF(OR(C13="",D13="",E13="",D13=C13),"",(E13-C13)/(D13-C13))</f>
        <v/>
      </c>
      <c r="G13" s="10" t="n"/>
      <c r="H13" s="10" t="n"/>
    </row>
    <row r="14" ht="30" customHeight="1">
      <c r="A14" s="21" t="n"/>
      <c r="B14" s="10" t="n"/>
      <c r="C14" s="10" t="n"/>
      <c r="D14" s="10" t="n"/>
      <c r="E14" s="10" t="n"/>
      <c r="F14" s="19">
        <f>IF(OR(C14="",D14="",E14="",D14=C14),"",(E14-C14)/(D14-C14))</f>
        <v/>
      </c>
      <c r="G14" s="10" t="n"/>
      <c r="H14" s="10" t="n"/>
    </row>
    <row r="15" ht="30" customHeight="1">
      <c r="A15" s="10" t="n"/>
      <c r="B15" s="10" t="n"/>
      <c r="C15" s="10" t="n"/>
      <c r="D15" s="10" t="n"/>
      <c r="E15" s="10" t="n"/>
      <c r="F15" s="19">
        <f>IF(OR(C15="",D15="",E15="",D15=C15),"",(E15-C15)/(D15-C15))</f>
        <v/>
      </c>
      <c r="G15" s="10" t="n"/>
      <c r="H15" s="10" t="n"/>
    </row>
    <row r="16" ht="30" customHeight="1">
      <c r="A16" s="20" t="n"/>
      <c r="B16" s="10" t="n"/>
      <c r="C16" s="10" t="n"/>
      <c r="D16" s="10" t="n"/>
      <c r="E16" s="10" t="n"/>
      <c r="F16" s="19">
        <f>IF(OR(C16="",D16="",E16="",D16=C16),"",(E16-C16)/(D16-C16))</f>
        <v/>
      </c>
      <c r="G16" s="10" t="n"/>
      <c r="H16" s="10" t="n"/>
    </row>
    <row r="17" ht="30" customHeight="1">
      <c r="A17" s="21" t="n"/>
      <c r="B17" s="10" t="n"/>
      <c r="C17" s="10" t="n"/>
      <c r="D17" s="10" t="n"/>
      <c r="E17" s="10" t="n"/>
      <c r="F17" s="19">
        <f>IF(OR(C17="",D17="",E17="",D17=C17),"",(E17-C17)/(D17-C17))</f>
        <v/>
      </c>
      <c r="G17" s="10" t="n"/>
      <c r="H17" s="10" t="n"/>
    </row>
  </sheetData>
  <mergeCells count="7">
    <mergeCell ref="A3:H3"/>
    <mergeCell ref="A12:A14"/>
    <mergeCell ref="A2:H2"/>
    <mergeCell ref="A15:A17"/>
    <mergeCell ref="A1:H1"/>
    <mergeCell ref="A6:A8"/>
    <mergeCell ref="A9:A11"/>
  </mergeCell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G33"/>
  <sheetViews>
    <sheetView showGridLines="0" rightToLeft="0" zoomScale="11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InnovaForge Toolkit · 4.4</t>
        </is>
      </c>
    </row>
    <row r="2" ht="28" customHeight="1">
      <c r="A2" s="2" t="inlineStr">
        <is>
          <t>Roadmap</t>
        </is>
      </c>
    </row>
    <row r="3" ht="32" customHeight="1">
      <c r="A3" s="3" t="inlineStr">
        <is>
          <t>Three to six months by workstream; then the first sprints as user stories.</t>
        </is>
      </c>
    </row>
    <row r="5" ht="30" customHeight="1">
      <c r="A5" s="8" t="inlineStr">
        <is>
          <t>Workstream</t>
        </is>
      </c>
      <c r="B5" s="8" t="inlineStr">
        <is>
          <t>Month 1</t>
        </is>
      </c>
      <c r="C5" s="8" t="inlineStr">
        <is>
          <t>Month 2</t>
        </is>
      </c>
      <c r="D5" s="8" t="inlineStr">
        <is>
          <t>Month 3</t>
        </is>
      </c>
      <c r="E5" s="8" t="inlineStr">
        <is>
          <t>Month 4</t>
        </is>
      </c>
      <c r="F5" s="8" t="inlineStr">
        <is>
          <t>Month 5</t>
        </is>
      </c>
      <c r="G5" s="8" t="inlineStr">
        <is>
          <t>Month 6</t>
        </is>
      </c>
    </row>
    <row r="6" ht="50" customHeight="1">
      <c r="A6" s="14" t="inlineStr">
        <is>
          <t>Product</t>
        </is>
      </c>
      <c r="B6" s="10" t="n"/>
      <c r="C6" s="10" t="n"/>
      <c r="D6" s="10" t="n"/>
      <c r="E6" s="10" t="n"/>
      <c r="F6" s="10" t="n"/>
      <c r="G6" s="10" t="n"/>
    </row>
    <row r="7" ht="50" customHeight="1">
      <c r="A7" s="14" t="inlineStr">
        <is>
          <t>People and skills</t>
        </is>
      </c>
      <c r="B7" s="10" t="n"/>
      <c r="C7" s="10" t="n"/>
      <c r="D7" s="10" t="n"/>
      <c r="E7" s="10" t="n"/>
      <c r="F7" s="10" t="n"/>
      <c r="G7" s="10" t="n"/>
    </row>
    <row r="8" ht="50" customHeight="1">
      <c r="A8" s="14" t="inlineStr">
        <is>
          <t>Users and market</t>
        </is>
      </c>
      <c r="B8" s="10" t="n"/>
      <c r="C8" s="10" t="n"/>
      <c r="D8" s="10" t="n"/>
      <c r="E8" s="10" t="n"/>
      <c r="F8" s="10" t="n"/>
      <c r="G8" s="10" t="n"/>
    </row>
    <row r="9" ht="50" customHeight="1">
      <c r="A9" s="14" t="inlineStr">
        <is>
          <t>Operations</t>
        </is>
      </c>
      <c r="B9" s="10" t="n"/>
      <c r="C9" s="10" t="n"/>
      <c r="D9" s="10" t="n"/>
      <c r="E9" s="10" t="n"/>
      <c r="F9" s="10" t="n"/>
      <c r="G9" s="10" t="n"/>
    </row>
    <row r="10" ht="50" customHeight="1">
      <c r="A10" s="14" t="inlineStr">
        <is>
          <t>Milestones</t>
        </is>
      </c>
      <c r="B10" s="10" t="n"/>
      <c r="C10" s="10" t="n"/>
      <c r="D10" s="10" t="n"/>
      <c r="E10" s="10" t="n"/>
      <c r="F10" s="10" t="n"/>
      <c r="G10" s="10" t="n"/>
    </row>
    <row r="12" ht="20" customHeight="1">
      <c r="A12" s="6" t="inlineStr">
        <is>
          <t>Sprints and user stories</t>
        </is>
      </c>
    </row>
    <row r="13" ht="30" customHeight="1">
      <c r="A13" s="8" t="inlineStr">
        <is>
          <t>Sprint</t>
        </is>
      </c>
      <c r="B13" s="8" t="inlineStr">
        <is>
          <t>As a…, I want…, so that…</t>
        </is>
      </c>
      <c r="C13" s="8" t="inlineStr"/>
      <c r="D13" s="8" t="inlineStr"/>
      <c r="E13" s="8" t="inlineStr">
        <is>
          <t>Done when</t>
        </is>
      </c>
      <c r="F13" s="8" t="inlineStr"/>
      <c r="G13" s="8" t="inlineStr">
        <is>
          <t>Status</t>
        </is>
      </c>
    </row>
    <row r="14" ht="28" customHeight="1">
      <c r="A14" s="10" t="n"/>
      <c r="B14" s="10" t="n"/>
      <c r="C14" s="22" t="n"/>
      <c r="D14" s="23" t="n"/>
      <c r="E14" s="10" t="n"/>
      <c r="F14" s="23" t="n"/>
      <c r="G14" s="10" t="n"/>
    </row>
    <row r="15" ht="28" customHeight="1">
      <c r="A15" s="10" t="n"/>
      <c r="B15" s="10" t="n"/>
      <c r="C15" s="22" t="n"/>
      <c r="D15" s="23" t="n"/>
      <c r="E15" s="10" t="n"/>
      <c r="F15" s="23" t="n"/>
      <c r="G15" s="10" t="n"/>
    </row>
    <row r="16" ht="28" customHeight="1">
      <c r="A16" s="10" t="n"/>
      <c r="B16" s="10" t="n"/>
      <c r="C16" s="22" t="n"/>
      <c r="D16" s="23" t="n"/>
      <c r="E16" s="10" t="n"/>
      <c r="F16" s="23" t="n"/>
      <c r="G16" s="10" t="n"/>
    </row>
    <row r="17" ht="28" customHeight="1">
      <c r="A17" s="10" t="n"/>
      <c r="B17" s="10" t="n"/>
      <c r="C17" s="22" t="n"/>
      <c r="D17" s="23" t="n"/>
      <c r="E17" s="10" t="n"/>
      <c r="F17" s="23" t="n"/>
      <c r="G17" s="10" t="n"/>
    </row>
    <row r="18" ht="28" customHeight="1">
      <c r="A18" s="10" t="n"/>
      <c r="B18" s="10" t="n"/>
      <c r="C18" s="22" t="n"/>
      <c r="D18" s="23" t="n"/>
      <c r="E18" s="10" t="n"/>
      <c r="F18" s="23" t="n"/>
      <c r="G18" s="10" t="n"/>
    </row>
    <row r="19" ht="28" customHeight="1">
      <c r="A19" s="10" t="n"/>
      <c r="B19" s="10" t="n"/>
      <c r="C19" s="22" t="n"/>
      <c r="D19" s="23" t="n"/>
      <c r="E19" s="10" t="n"/>
      <c r="F19" s="23" t="n"/>
      <c r="G19" s="10" t="n"/>
    </row>
    <row r="20" ht="28" customHeight="1">
      <c r="A20" s="10" t="n"/>
      <c r="B20" s="10" t="n"/>
      <c r="C20" s="22" t="n"/>
      <c r="D20" s="23" t="n"/>
      <c r="E20" s="10" t="n"/>
      <c r="F20" s="23" t="n"/>
      <c r="G20" s="10" t="n"/>
    </row>
    <row r="21" ht="28" customHeight="1">
      <c r="A21" s="10" t="n"/>
      <c r="B21" s="10" t="n"/>
      <c r="C21" s="22" t="n"/>
      <c r="D21" s="23" t="n"/>
      <c r="E21" s="10" t="n"/>
      <c r="F21" s="23" t="n"/>
      <c r="G21" s="10" t="n"/>
    </row>
    <row r="22" ht="28" customHeight="1">
      <c r="A22" s="10" t="n"/>
      <c r="B22" s="10" t="n"/>
      <c r="C22" s="22" t="n"/>
      <c r="D22" s="23" t="n"/>
      <c r="E22" s="10" t="n"/>
      <c r="F22" s="23" t="n"/>
      <c r="G22" s="10" t="n"/>
    </row>
    <row r="23" ht="28" customHeight="1">
      <c r="A23" s="10" t="n"/>
      <c r="B23" s="10" t="n"/>
      <c r="C23" s="22" t="n"/>
      <c r="D23" s="23" t="n"/>
      <c r="E23" s="10" t="n"/>
      <c r="F23" s="23" t="n"/>
      <c r="G23" s="10" t="n"/>
    </row>
    <row r="24" ht="28" customHeight="1">
      <c r="A24" s="10" t="n"/>
      <c r="B24" s="10" t="n"/>
      <c r="C24" s="22" t="n"/>
      <c r="D24" s="23" t="n"/>
      <c r="E24" s="10" t="n"/>
      <c r="F24" s="23" t="n"/>
      <c r="G24" s="10" t="n"/>
    </row>
    <row r="25" ht="28" customHeight="1">
      <c r="A25" s="10" t="n"/>
      <c r="B25" s="10" t="n"/>
      <c r="C25" s="22" t="n"/>
      <c r="D25" s="23" t="n"/>
      <c r="E25" s="10" t="n"/>
      <c r="F25" s="23" t="n"/>
      <c r="G25" s="10" t="n"/>
    </row>
    <row r="26" ht="28" customHeight="1">
      <c r="A26" s="10" t="n"/>
      <c r="B26" s="10" t="n"/>
      <c r="C26" s="22" t="n"/>
      <c r="D26" s="23" t="n"/>
      <c r="E26" s="10" t="n"/>
      <c r="F26" s="23" t="n"/>
      <c r="G26" s="10" t="n"/>
    </row>
    <row r="27" ht="28" customHeight="1">
      <c r="A27" s="10" t="n"/>
      <c r="B27" s="10" t="n"/>
      <c r="C27" s="22" t="n"/>
      <c r="D27" s="23" t="n"/>
      <c r="E27" s="10" t="n"/>
      <c r="F27" s="23" t="n"/>
      <c r="G27" s="10" t="n"/>
    </row>
    <row r="28" ht="28" customHeight="1">
      <c r="A28" s="10" t="n"/>
      <c r="B28" s="10" t="n"/>
      <c r="C28" s="22" t="n"/>
      <c r="D28" s="23" t="n"/>
      <c r="E28" s="10" t="n"/>
      <c r="F28" s="23" t="n"/>
      <c r="G28" s="10" t="n"/>
    </row>
    <row r="29" ht="28" customHeight="1">
      <c r="A29" s="10" t="n"/>
      <c r="B29" s="10" t="n"/>
      <c r="C29" s="22" t="n"/>
      <c r="D29" s="23" t="n"/>
      <c r="E29" s="10" t="n"/>
      <c r="F29" s="23" t="n"/>
      <c r="G29" s="10" t="n"/>
    </row>
    <row r="30" ht="28" customHeight="1">
      <c r="A30" s="10" t="n"/>
      <c r="B30" s="10" t="n"/>
      <c r="C30" s="22" t="n"/>
      <c r="D30" s="23" t="n"/>
      <c r="E30" s="10" t="n"/>
      <c r="F30" s="23" t="n"/>
      <c r="G30" s="10" t="n"/>
    </row>
    <row r="31" ht="28" customHeight="1">
      <c r="A31" s="10" t="n"/>
      <c r="B31" s="10" t="n"/>
      <c r="C31" s="22" t="n"/>
      <c r="D31" s="23" t="n"/>
      <c r="E31" s="10" t="n"/>
      <c r="F31" s="23" t="n"/>
      <c r="G31" s="10" t="n"/>
    </row>
    <row r="32" ht="28" customHeight="1">
      <c r="A32" s="10" t="n"/>
      <c r="B32" s="10" t="n"/>
      <c r="C32" s="22" t="n"/>
      <c r="D32" s="23" t="n"/>
      <c r="E32" s="10" t="n"/>
      <c r="F32" s="23" t="n"/>
      <c r="G32" s="10" t="n"/>
    </row>
    <row r="33" ht="28" customHeight="1">
      <c r="A33" s="10" t="n"/>
      <c r="B33" s="10" t="n"/>
      <c r="C33" s="22" t="n"/>
      <c r="D33" s="23" t="n"/>
      <c r="E33" s="10" t="n"/>
      <c r="F33" s="23" t="n"/>
      <c r="G33" s="10" t="n"/>
    </row>
  </sheetData>
  <mergeCells count="44">
    <mergeCell ref="B14:D14"/>
    <mergeCell ref="B23:D23"/>
    <mergeCell ref="E24:F24"/>
    <mergeCell ref="E33:F33"/>
    <mergeCell ref="B17:D17"/>
    <mergeCell ref="E23:F23"/>
    <mergeCell ref="E14:F14"/>
    <mergeCell ref="B29:D29"/>
    <mergeCell ref="E17:F17"/>
    <mergeCell ref="B28:D28"/>
    <mergeCell ref="B19:D19"/>
    <mergeCell ref="E20:F20"/>
    <mergeCell ref="E29:F29"/>
    <mergeCell ref="E19:F19"/>
    <mergeCell ref="E28:F28"/>
    <mergeCell ref="B30:D30"/>
    <mergeCell ref="B15:D15"/>
    <mergeCell ref="B24:D24"/>
    <mergeCell ref="E31:F31"/>
    <mergeCell ref="B20:D20"/>
    <mergeCell ref="B33:D33"/>
    <mergeCell ref="A1:G1"/>
    <mergeCell ref="E30:F30"/>
    <mergeCell ref="E15:F15"/>
    <mergeCell ref="B32:D32"/>
    <mergeCell ref="B26:D26"/>
    <mergeCell ref="E27:F27"/>
    <mergeCell ref="E26:F26"/>
    <mergeCell ref="B25:D25"/>
    <mergeCell ref="B16:D16"/>
    <mergeCell ref="E16:F16"/>
    <mergeCell ref="B31:D31"/>
    <mergeCell ref="E32:F32"/>
    <mergeCell ref="A3:G3"/>
    <mergeCell ref="B22:D22"/>
    <mergeCell ref="E25:F25"/>
    <mergeCell ref="A12:G12"/>
    <mergeCell ref="B18:D18"/>
    <mergeCell ref="B27:D27"/>
    <mergeCell ref="A2:G2"/>
    <mergeCell ref="E22:F22"/>
    <mergeCell ref="B21:D21"/>
    <mergeCell ref="E18:F18"/>
    <mergeCell ref="E21:F21"/>
  </mergeCells>
  <dataValidations count="1">
    <dataValidation sqref="G14:G33" showDropDown="0" showInputMessage="0" showErrorMessage="0" allowBlank="1" type="list">
      <formula1>"To do,Doing,Done"</formula1>
    </dataValidation>
  </dataValidation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F28"/>
  <sheetViews>
    <sheetView showGridLines="0" rightToLeft="0" zoomScale="11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34" customWidth="1" min="5" max="5"/>
    <col width="16" customWidth="1" min="6" max="6"/>
  </cols>
  <sheetData>
    <row r="1">
      <c r="A1" s="1" t="inlineStr">
        <is>
          <t>InnovaForge Toolkit · 4.5</t>
        </is>
      </c>
    </row>
    <row r="2" ht="28" customHeight="1">
      <c r="A2" s="2" t="inlineStr">
        <is>
          <t>Resources and risks</t>
        </is>
      </c>
    </row>
    <row r="3" ht="32" customHeight="1">
      <c r="A3" s="3" t="inlineStr">
        <is>
          <t>Likelihood and impact from 1 to 3; the score is calculated. Six and above: act now.</t>
        </is>
      </c>
    </row>
    <row r="5" ht="30" customHeight="1">
      <c r="A5" s="8" t="inlineStr">
        <is>
          <t>Resource: people, tools, space</t>
        </is>
      </c>
      <c r="B5" s="8" t="inlineStr">
        <is>
          <t>How much</t>
        </is>
      </c>
      <c r="C5" s="8" t="inlineStr">
        <is>
          <t>Cost</t>
        </is>
      </c>
      <c r="D5" s="8" t="inlineStr"/>
      <c r="E5" s="8" t="inlineStr"/>
      <c r="F5" s="8" t="inlineStr"/>
    </row>
    <row r="6" ht="24" customHeight="1">
      <c r="A6" s="10" t="n"/>
      <c r="B6" s="10" t="n"/>
      <c r="C6" s="10" t="n"/>
      <c r="D6" s="10" t="n"/>
      <c r="E6" s="10" t="n"/>
      <c r="F6" s="10" t="n"/>
    </row>
    <row r="7" ht="24" customHeight="1">
      <c r="A7" s="10" t="n"/>
      <c r="B7" s="10" t="n"/>
      <c r="C7" s="10" t="n"/>
      <c r="D7" s="10" t="n"/>
      <c r="E7" s="10" t="n"/>
      <c r="F7" s="10" t="n"/>
    </row>
    <row r="8" ht="24" customHeight="1">
      <c r="A8" s="10" t="n"/>
      <c r="B8" s="10" t="n"/>
      <c r="C8" s="10" t="n"/>
      <c r="D8" s="10" t="n"/>
      <c r="E8" s="10" t="n"/>
      <c r="F8" s="10" t="n"/>
    </row>
    <row r="9" ht="24" customHeight="1">
      <c r="A9" s="10" t="n"/>
      <c r="B9" s="10" t="n"/>
      <c r="C9" s="10" t="n"/>
      <c r="D9" s="10" t="n"/>
      <c r="E9" s="10" t="n"/>
      <c r="F9" s="10" t="n"/>
    </row>
    <row r="10" ht="24" customHeight="1">
      <c r="A10" s="10" t="n"/>
      <c r="B10" s="10" t="n"/>
      <c r="C10" s="10" t="n"/>
      <c r="D10" s="10" t="n"/>
      <c r="E10" s="10" t="n"/>
      <c r="F10" s="10" t="n"/>
    </row>
    <row r="11" ht="24" customHeight="1">
      <c r="A11" s="10" t="n"/>
      <c r="B11" s="10" t="n"/>
      <c r="C11" s="10" t="n"/>
      <c r="D11" s="10" t="n"/>
      <c r="E11" s="10" t="n"/>
      <c r="F11" s="10" t="n"/>
    </row>
    <row r="12" ht="24" customHeight="1">
      <c r="A12" s="10" t="n"/>
      <c r="B12" s="10" t="n"/>
      <c r="C12" s="10" t="n"/>
      <c r="D12" s="10" t="n"/>
      <c r="E12" s="10" t="n"/>
      <c r="F12" s="10" t="n"/>
    </row>
    <row r="13" ht="24" customHeight="1">
      <c r="A13" s="10" t="n"/>
      <c r="B13" s="10" t="n"/>
      <c r="C13" s="10" t="n"/>
      <c r="D13" s="10" t="n"/>
      <c r="E13" s="10" t="n"/>
      <c r="F13" s="10" t="n"/>
    </row>
    <row r="14">
      <c r="A14" s="12" t="inlineStr">
        <is>
          <t>Total budget</t>
        </is>
      </c>
      <c r="C14" s="24">
        <f>SUM(C6:C13)</f>
        <v/>
      </c>
    </row>
    <row r="16" ht="30" customHeight="1">
      <c r="A16" s="8" t="inlineStr">
        <is>
          <t>Risk</t>
        </is>
      </c>
      <c r="B16" s="8" t="inlineStr">
        <is>
          <t>Likelihood 1–3</t>
        </is>
      </c>
      <c r="C16" s="8" t="inlineStr">
        <is>
          <t>Impact 1–3</t>
        </is>
      </c>
      <c r="D16" s="8" t="inlineStr">
        <is>
          <t>Score</t>
        </is>
      </c>
      <c r="E16" s="8" t="inlineStr">
        <is>
          <t>Response</t>
        </is>
      </c>
      <c r="F16" s="8" t="inlineStr">
        <is>
          <t>Owner</t>
        </is>
      </c>
    </row>
    <row r="17" ht="30" customHeight="1">
      <c r="A17" s="10" t="n"/>
      <c r="B17" s="10" t="n"/>
      <c r="C17" s="10" t="n"/>
      <c r="D17" s="18">
        <f>IF(OR(B17="",C17=""),"",B17*C17)</f>
        <v/>
      </c>
      <c r="E17" s="10" t="n"/>
      <c r="F17" s="10" t="n"/>
    </row>
    <row r="18" ht="30" customHeight="1">
      <c r="A18" s="10" t="n"/>
      <c r="B18" s="10" t="n"/>
      <c r="C18" s="10" t="n"/>
      <c r="D18" s="18">
        <f>IF(OR(B18="",C18=""),"",B18*C18)</f>
        <v/>
      </c>
      <c r="E18" s="10" t="n"/>
      <c r="F18" s="10" t="n"/>
    </row>
    <row r="19" ht="30" customHeight="1">
      <c r="A19" s="10" t="n"/>
      <c r="B19" s="10" t="n"/>
      <c r="C19" s="10" t="n"/>
      <c r="D19" s="18">
        <f>IF(OR(B19="",C19=""),"",B19*C19)</f>
        <v/>
      </c>
      <c r="E19" s="10" t="n"/>
      <c r="F19" s="10" t="n"/>
    </row>
    <row r="20" ht="30" customHeight="1">
      <c r="A20" s="10" t="n"/>
      <c r="B20" s="10" t="n"/>
      <c r="C20" s="10" t="n"/>
      <c r="D20" s="18">
        <f>IF(OR(B20="",C20=""),"",B20*C20)</f>
        <v/>
      </c>
      <c r="E20" s="10" t="n"/>
      <c r="F20" s="10" t="n"/>
    </row>
    <row r="21" ht="30" customHeight="1">
      <c r="A21" s="10" t="n"/>
      <c r="B21" s="10" t="n"/>
      <c r="C21" s="10" t="n"/>
      <c r="D21" s="18">
        <f>IF(OR(B21="",C21=""),"",B21*C21)</f>
        <v/>
      </c>
      <c r="E21" s="10" t="n"/>
      <c r="F21" s="10" t="n"/>
    </row>
    <row r="22" ht="30" customHeight="1">
      <c r="A22" s="10" t="n"/>
      <c r="B22" s="10" t="n"/>
      <c r="C22" s="10" t="n"/>
      <c r="D22" s="18">
        <f>IF(OR(B22="",C22=""),"",B22*C22)</f>
        <v/>
      </c>
      <c r="E22" s="10" t="n"/>
      <c r="F22" s="10" t="n"/>
    </row>
    <row r="23" ht="30" customHeight="1">
      <c r="A23" s="10" t="n"/>
      <c r="B23" s="10" t="n"/>
      <c r="C23" s="10" t="n"/>
      <c r="D23" s="18">
        <f>IF(OR(B23="",C23=""),"",B23*C23)</f>
        <v/>
      </c>
      <c r="E23" s="10" t="n"/>
      <c r="F23" s="10" t="n"/>
    </row>
    <row r="24" ht="30" customHeight="1">
      <c r="A24" s="10" t="n"/>
      <c r="B24" s="10" t="n"/>
      <c r="C24" s="10" t="n"/>
      <c r="D24" s="18">
        <f>IF(OR(B24="",C24=""),"",B24*C24)</f>
        <v/>
      </c>
      <c r="E24" s="10" t="n"/>
      <c r="F24" s="10" t="n"/>
    </row>
    <row r="25" ht="30" customHeight="1">
      <c r="A25" s="10" t="n"/>
      <c r="B25" s="10" t="n"/>
      <c r="C25" s="10" t="n"/>
      <c r="D25" s="18">
        <f>IF(OR(B25="",C25=""),"",B25*C25)</f>
        <v/>
      </c>
      <c r="E25" s="10" t="n"/>
      <c r="F25" s="10" t="n"/>
    </row>
    <row r="26" ht="30" customHeight="1">
      <c r="A26" s="10" t="n"/>
      <c r="B26" s="10" t="n"/>
      <c r="C26" s="10" t="n"/>
      <c r="D26" s="18">
        <f>IF(OR(B26="",C26=""),"",B26*C26)</f>
        <v/>
      </c>
      <c r="E26" s="10" t="n"/>
      <c r="F26" s="10" t="n"/>
    </row>
    <row r="27" ht="30" customHeight="1">
      <c r="A27" s="10" t="n"/>
      <c r="B27" s="10" t="n"/>
      <c r="C27" s="10" t="n"/>
      <c r="D27" s="18">
        <f>IF(OR(B27="",C27=""),"",B27*C27)</f>
        <v/>
      </c>
      <c r="E27" s="10" t="n"/>
      <c r="F27" s="10" t="n"/>
    </row>
    <row r="28" ht="30" customHeight="1">
      <c r="A28" s="10" t="n"/>
      <c r="B28" s="10" t="n"/>
      <c r="C28" s="10" t="n"/>
      <c r="D28" s="18">
        <f>IF(OR(B28="",C28=""),"",B28*C28)</f>
        <v/>
      </c>
      <c r="E28" s="10" t="n"/>
      <c r="F28" s="10" t="n"/>
    </row>
  </sheetData>
  <mergeCells count="3">
    <mergeCell ref="A3:F3"/>
    <mergeCell ref="A2:F2"/>
    <mergeCell ref="A1:F1"/>
  </mergeCells>
  <conditionalFormatting sqref="D17:D28">
    <cfRule type="cellIs" priority="1" operator="greaterThanOrEqual" dxfId="2">
      <formula>6</formula>
    </cfRule>
    <cfRule type="cellIs" priority="2" operator="between" dxfId="3">
      <formula>3</formula>
      <formula>4</formula>
    </cfRule>
    <cfRule type="cellIs" priority="3" operator="between" dxfId="4">
      <formula>1</formula>
      <formula>2</formula>
    </cfRule>
  </conditionalFormatting>
  <dataValidations count="1">
    <dataValidation sqref="B17:C28" showDropDown="0" showInputMessage="0" showErrorMessage="0" allowBlank="1" error="Enter a whole number from 1 to 3." type="whole" operator="between">
      <formula1>1</formula1>
      <formula2>3</formula2>
    </dataValidation>
  </dataValidation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C22"/>
  <sheetViews>
    <sheetView showGridLines="0" rightToLeft="0" zoomScale="11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20" customWidth="1" min="3" max="3"/>
  </cols>
  <sheetData>
    <row r="1">
      <c r="A1" s="1" t="inlineStr">
        <is>
          <t>InnovaForge Toolkit · 5.1</t>
        </is>
      </c>
    </row>
    <row r="2" ht="28" customHeight="1">
      <c r="A2" s="2" t="inlineStr">
        <is>
          <t>Launch checklist</t>
        </is>
      </c>
    </row>
    <row r="3" ht="32" customHeight="1">
      <c r="A3" s="3" t="inlineStr">
        <is>
          <t>Nothing ships until every line is Yes or consciously waived.</t>
        </is>
      </c>
    </row>
    <row r="5" ht="20" customHeight="1">
      <c r="A5" s="6" t="inlineStr">
        <is>
          <t>Kind of launch: full, or phased (who gets it, from when, and go on if…)</t>
        </is>
      </c>
    </row>
    <row r="6" ht="50" customHeight="1">
      <c r="A6" s="15" t="n"/>
      <c r="B6" s="16" t="n"/>
      <c r="C6" s="16" t="n"/>
    </row>
    <row r="8" ht="30" customHeight="1">
      <c r="A8" s="8" t="inlineStr">
        <is>
          <t>Item</t>
        </is>
      </c>
      <c r="B8" s="8" t="inlineStr">
        <is>
          <t>Done</t>
        </is>
      </c>
      <c r="C8" s="8" t="inlineStr">
        <is>
          <t>Owner</t>
        </is>
      </c>
    </row>
    <row r="9" ht="24" customHeight="1">
      <c r="A9" s="14" t="inlineStr">
        <is>
          <t>The key results from Sculpt have a baseline.</t>
        </is>
      </c>
      <c r="B9" s="10" t="n"/>
      <c r="C9" s="10" t="n"/>
    </row>
    <row r="10" ht="24" customHeight="1">
      <c r="A10" s="14" t="inlineStr">
        <is>
          <t>Tracking is live, and someone owns the dashboard.</t>
        </is>
      </c>
      <c r="B10" s="10" t="n"/>
      <c r="C10" s="10" t="n"/>
    </row>
    <row r="11" ht="24" customHeight="1">
      <c r="A11" s="14" t="inlineStr">
        <is>
          <t>Users have a channel for feedback, and someone reads it.</t>
        </is>
      </c>
      <c r="B11" s="10" t="n"/>
      <c r="C11" s="10" t="n"/>
    </row>
    <row r="12" ht="24" customHeight="1">
      <c r="A12" s="14" t="inlineStr">
        <is>
          <t>Support knows what is coming and how to answer.</t>
        </is>
      </c>
      <c r="B12" s="10" t="n"/>
      <c r="C12" s="10" t="n"/>
    </row>
    <row r="13" ht="24" customHeight="1">
      <c r="A13" s="14" t="inlineStr">
        <is>
          <t>There is a way back if something breaks.</t>
        </is>
      </c>
      <c r="B13" s="10" t="n"/>
      <c r="C13" s="10" t="n"/>
    </row>
    <row r="14" ht="24" customHeight="1">
      <c r="A14" s="14" t="inlineStr">
        <is>
          <t>Someone is on call for the first days.</t>
        </is>
      </c>
      <c r="B14" s="10" t="n"/>
      <c r="C14" s="10" t="n"/>
    </row>
    <row r="15" ht="24" customHeight="1">
      <c r="A15" s="14" t="inlineStr">
        <is>
          <t>Legal, privacy and security have signed off.</t>
        </is>
      </c>
      <c r="B15" s="10" t="n"/>
      <c r="C15" s="10" t="n"/>
    </row>
    <row r="16" ht="24" customHeight="1">
      <c r="A16" s="14" t="inlineStr">
        <is>
          <t>Stakeholders and users have been told.</t>
        </is>
      </c>
      <c r="B16" s="10" t="n"/>
      <c r="C16" s="10" t="n"/>
    </row>
    <row r="17" ht="24" customHeight="1">
      <c r="A17" s="14" t="inlineStr">
        <is>
          <t>The retrospective is booked, two to four weeks out.</t>
        </is>
      </c>
      <c r="B17" s="10" t="n"/>
      <c r="C17" s="10" t="n"/>
    </row>
    <row r="18" ht="24" customHeight="1">
      <c r="A18" s="14" t="inlineStr">
        <is>
          <t>The canvas is up to date.</t>
        </is>
      </c>
      <c r="B18" s="10" t="n"/>
      <c r="C18" s="10" t="n"/>
    </row>
    <row r="19" ht="24" customHeight="1">
      <c r="A19" s="14" t="inlineStr"/>
      <c r="B19" s="10" t="n"/>
      <c r="C19" s="10" t="n"/>
    </row>
    <row r="20" ht="24" customHeight="1">
      <c r="A20" s="14" t="inlineStr"/>
      <c r="B20" s="10" t="n"/>
      <c r="C20" s="10" t="n"/>
    </row>
    <row r="21" ht="24" customHeight="1">
      <c r="A21" s="14" t="inlineStr"/>
      <c r="B21" s="10" t="n"/>
      <c r="C21" s="10" t="n"/>
    </row>
    <row r="22">
      <c r="A22" s="12" t="inlineStr">
        <is>
          <t>Ready</t>
        </is>
      </c>
      <c r="B22" s="24">
        <f>COUNTIF(B9:B21,"Yes")+COUNTIF(B9:B21,"Waived")&amp;" / "&amp;COUNTA(A9:A21)</f>
        <v/>
      </c>
    </row>
  </sheetData>
  <mergeCells count="5">
    <mergeCell ref="A1:C1"/>
    <mergeCell ref="A5:C5"/>
    <mergeCell ref="A6:C6"/>
    <mergeCell ref="A3:C3"/>
    <mergeCell ref="A2:C2"/>
  </mergeCells>
  <dataValidations count="1">
    <dataValidation sqref="B9:B21" showDropDown="0" showInputMessage="0" showErrorMessage="0" allowBlank="1" type="list">
      <formula1>"Yes,Waived,Not yet"</formula1>
    </dataValidation>
  </dataValidations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H18"/>
  <sheetViews>
    <sheetView showGridLines="0" rightToLeft="0" zoomScale="110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</cols>
  <sheetData>
    <row r="1">
      <c r="A1" s="1" t="inlineStr">
        <is>
          <t>InnovaForge Toolkit · 5.2</t>
        </is>
      </c>
    </row>
    <row r="2" ht="28" customHeight="1">
      <c r="A2" s="2" t="inlineStr">
        <is>
          <t>Impact tracker</t>
        </is>
      </c>
    </row>
    <row r="3" ht="32" customHeight="1">
      <c r="A3" s="3" t="inlineStr">
        <is>
          <t>Track the key results and KPIs from Sculpt from day one. Read the trend, not a single number.</t>
        </is>
      </c>
    </row>
    <row r="5" ht="30" customHeight="1">
      <c r="A5" s="8" t="inlineStr">
        <is>
          <t>Key result or KPI</t>
        </is>
      </c>
      <c r="B5" s="8" t="inlineStr">
        <is>
          <t>Baseline</t>
        </is>
      </c>
      <c r="C5" s="8" t="inlineStr">
        <is>
          <t>Target</t>
        </is>
      </c>
      <c r="D5" s="8" t="inlineStr">
        <is>
          <t>Week 1</t>
        </is>
      </c>
      <c r="E5" s="8" t="inlineStr">
        <is>
          <t>Week 2</t>
        </is>
      </c>
      <c r="F5" s="8" t="inlineStr">
        <is>
          <t>Week 4</t>
        </is>
      </c>
      <c r="G5" s="8" t="inlineStr">
        <is>
          <t>Progress</t>
        </is>
      </c>
      <c r="H5" s="8" t="inlineStr">
        <is>
          <t>Trend</t>
        </is>
      </c>
    </row>
    <row r="6" ht="26" customHeight="1">
      <c r="A6" s="10" t="n"/>
      <c r="B6" s="10" t="n"/>
      <c r="C6" s="10" t="n"/>
      <c r="D6" s="10" t="n"/>
      <c r="E6" s="10" t="n"/>
      <c r="F6" s="10" t="n"/>
      <c r="G6" s="19">
        <f>IF(OR(B6="",C6="",C6=B6,COUNT(D6:F6)=0),"",(IF(F6&lt;&gt;"",F6,IF(E6&lt;&gt;"",E6,D6))-B6)/(C6-B6))</f>
        <v/>
      </c>
      <c r="H6" s="18">
        <f>IF(COUNT(D6:F6)&lt;2,"",IF(IF(F6&lt;&gt;"",F6,E6)&gt;D6,"▲",IF(IF(F6&lt;&gt;"",F6,E6)&lt;D6,"▼","▬")))</f>
        <v/>
      </c>
    </row>
    <row r="7" ht="26" customHeight="1">
      <c r="A7" s="10" t="n"/>
      <c r="B7" s="10" t="n"/>
      <c r="C7" s="10" t="n"/>
      <c r="D7" s="10" t="n"/>
      <c r="E7" s="10" t="n"/>
      <c r="F7" s="10" t="n"/>
      <c r="G7" s="19">
        <f>IF(OR(B7="",C7="",C7=B7,COUNT(D7:F7)=0),"",(IF(F7&lt;&gt;"",F7,IF(E7&lt;&gt;"",E7,D7))-B7)/(C7-B7))</f>
        <v/>
      </c>
      <c r="H7" s="18">
        <f>IF(COUNT(D7:F7)&lt;2,"",IF(IF(F7&lt;&gt;"",F7,E7)&gt;D7,"▲",IF(IF(F7&lt;&gt;"",F7,E7)&lt;D7,"▼","▬")))</f>
        <v/>
      </c>
    </row>
    <row r="8" ht="26" customHeight="1">
      <c r="A8" s="10" t="n"/>
      <c r="B8" s="10" t="n"/>
      <c r="C8" s="10" t="n"/>
      <c r="D8" s="10" t="n"/>
      <c r="E8" s="10" t="n"/>
      <c r="F8" s="10" t="n"/>
      <c r="G8" s="19">
        <f>IF(OR(B8="",C8="",C8=B8,COUNT(D8:F8)=0),"",(IF(F8&lt;&gt;"",F8,IF(E8&lt;&gt;"",E8,D8))-B8)/(C8-B8))</f>
        <v/>
      </c>
      <c r="H8" s="18">
        <f>IF(COUNT(D8:F8)&lt;2,"",IF(IF(F8&lt;&gt;"",F8,E8)&gt;D8,"▲",IF(IF(F8&lt;&gt;"",F8,E8)&lt;D8,"▼","▬")))</f>
        <v/>
      </c>
    </row>
    <row r="9" ht="26" customHeight="1">
      <c r="A9" s="10" t="n"/>
      <c r="B9" s="10" t="n"/>
      <c r="C9" s="10" t="n"/>
      <c r="D9" s="10" t="n"/>
      <c r="E9" s="10" t="n"/>
      <c r="F9" s="10" t="n"/>
      <c r="G9" s="19">
        <f>IF(OR(B9="",C9="",C9=B9,COUNT(D9:F9)=0),"",(IF(F9&lt;&gt;"",F9,IF(E9&lt;&gt;"",E9,D9))-B9)/(C9-B9))</f>
        <v/>
      </c>
      <c r="H9" s="18">
        <f>IF(COUNT(D9:F9)&lt;2,"",IF(IF(F9&lt;&gt;"",F9,E9)&gt;D9,"▲",IF(IF(F9&lt;&gt;"",F9,E9)&lt;D9,"▼","▬")))</f>
        <v/>
      </c>
    </row>
    <row r="10" ht="26" customHeight="1">
      <c r="A10" s="10" t="n"/>
      <c r="B10" s="10" t="n"/>
      <c r="C10" s="10" t="n"/>
      <c r="D10" s="10" t="n"/>
      <c r="E10" s="10" t="n"/>
      <c r="F10" s="10" t="n"/>
      <c r="G10" s="19">
        <f>IF(OR(B10="",C10="",C10=B10,COUNT(D10:F10)=0),"",(IF(F10&lt;&gt;"",F10,IF(E10&lt;&gt;"",E10,D10))-B10)/(C10-B10))</f>
        <v/>
      </c>
      <c r="H10" s="18">
        <f>IF(COUNT(D10:F10)&lt;2,"",IF(IF(F10&lt;&gt;"",F10,E10)&gt;D10,"▲",IF(IF(F10&lt;&gt;"",F10,E10)&lt;D10,"▼","▬")))</f>
        <v/>
      </c>
    </row>
    <row r="11" ht="26" customHeight="1">
      <c r="A11" s="10" t="n"/>
      <c r="B11" s="10" t="n"/>
      <c r="C11" s="10" t="n"/>
      <c r="D11" s="10" t="n"/>
      <c r="E11" s="10" t="n"/>
      <c r="F11" s="10" t="n"/>
      <c r="G11" s="19">
        <f>IF(OR(B11="",C11="",C11=B11,COUNT(D11:F11)=0),"",(IF(F11&lt;&gt;"",F11,IF(E11&lt;&gt;"",E11,D11))-B11)/(C11-B11))</f>
        <v/>
      </c>
      <c r="H11" s="18">
        <f>IF(COUNT(D11:F11)&lt;2,"",IF(IF(F11&lt;&gt;"",F11,E11)&gt;D11,"▲",IF(IF(F11&lt;&gt;"",F11,E11)&lt;D11,"▼","▬")))</f>
        <v/>
      </c>
    </row>
    <row r="12" ht="26" customHeight="1">
      <c r="A12" s="10" t="n"/>
      <c r="B12" s="10" t="n"/>
      <c r="C12" s="10" t="n"/>
      <c r="D12" s="10" t="n"/>
      <c r="E12" s="10" t="n"/>
      <c r="F12" s="10" t="n"/>
      <c r="G12" s="19">
        <f>IF(OR(B12="",C12="",C12=B12,COUNT(D12:F12)=0),"",(IF(F12&lt;&gt;"",F12,IF(E12&lt;&gt;"",E12,D12))-B12)/(C12-B12))</f>
        <v/>
      </c>
      <c r="H12" s="18">
        <f>IF(COUNT(D12:F12)&lt;2,"",IF(IF(F12&lt;&gt;"",F12,E12)&gt;D12,"▲",IF(IF(F12&lt;&gt;"",F12,E12)&lt;D12,"▼","▬")))</f>
        <v/>
      </c>
    </row>
    <row r="13" ht="26" customHeight="1">
      <c r="A13" s="10" t="n"/>
      <c r="B13" s="10" t="n"/>
      <c r="C13" s="10" t="n"/>
      <c r="D13" s="10" t="n"/>
      <c r="E13" s="10" t="n"/>
      <c r="F13" s="10" t="n"/>
      <c r="G13" s="19">
        <f>IF(OR(B13="",C13="",C13=B13,COUNT(D13:F13)=0),"",(IF(F13&lt;&gt;"",F13,IF(E13&lt;&gt;"",E13,D13))-B13)/(C13-B13))</f>
        <v/>
      </c>
      <c r="H13" s="18">
        <f>IF(COUNT(D13:F13)&lt;2,"",IF(IF(F13&lt;&gt;"",F13,E13)&gt;D13,"▲",IF(IF(F13&lt;&gt;"",F13,E13)&lt;D13,"▼","▬")))</f>
        <v/>
      </c>
    </row>
    <row r="14" ht="26" customHeight="1">
      <c r="A14" s="10" t="n"/>
      <c r="B14" s="10" t="n"/>
      <c r="C14" s="10" t="n"/>
      <c r="D14" s="10" t="n"/>
      <c r="E14" s="10" t="n"/>
      <c r="F14" s="10" t="n"/>
      <c r="G14" s="19">
        <f>IF(OR(B14="",C14="",C14=B14,COUNT(D14:F14)=0),"",(IF(F14&lt;&gt;"",F14,IF(E14&lt;&gt;"",E14,D14))-B14)/(C14-B14))</f>
        <v/>
      </c>
      <c r="H14" s="18">
        <f>IF(COUNT(D14:F14)&lt;2,"",IF(IF(F14&lt;&gt;"",F14,E14)&gt;D14,"▲",IF(IF(F14&lt;&gt;"",F14,E14)&lt;D14,"▼","▬")))</f>
        <v/>
      </c>
    </row>
    <row r="15" ht="26" customHeight="1">
      <c r="A15" s="10" t="n"/>
      <c r="B15" s="10" t="n"/>
      <c r="C15" s="10" t="n"/>
      <c r="D15" s="10" t="n"/>
      <c r="E15" s="10" t="n"/>
      <c r="F15" s="10" t="n"/>
      <c r="G15" s="19">
        <f>IF(OR(B15="",C15="",C15=B15,COUNT(D15:F15)=0),"",(IF(F15&lt;&gt;"",F15,IF(E15&lt;&gt;"",E15,D15))-B15)/(C15-B15))</f>
        <v/>
      </c>
      <c r="H15" s="18">
        <f>IF(COUNT(D15:F15)&lt;2,"",IF(IF(F15&lt;&gt;"",F15,E15)&gt;D15,"▲",IF(IF(F15&lt;&gt;"",F15,E15)&lt;D15,"▼","▬")))</f>
        <v/>
      </c>
    </row>
    <row r="17" ht="20" customHeight="1">
      <c r="A17" s="6" t="inlineStr">
        <is>
          <t>What the numbers say</t>
        </is>
      </c>
    </row>
    <row r="18" ht="60" customHeight="1">
      <c r="A18" s="15" t="n"/>
      <c r="B18" s="16" t="n"/>
      <c r="C18" s="16" t="n"/>
      <c r="D18" s="16" t="n"/>
      <c r="E18" s="16" t="n"/>
      <c r="F18" s="16" t="n"/>
      <c r="G18" s="16" t="n"/>
      <c r="H18" s="16" t="n"/>
    </row>
  </sheetData>
  <mergeCells count="5">
    <mergeCell ref="A18:H18"/>
    <mergeCell ref="A3:H3"/>
    <mergeCell ref="A2:H2"/>
    <mergeCell ref="A1:H1"/>
    <mergeCell ref="A17:H17"/>
  </mergeCells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C17"/>
  <sheetViews>
    <sheetView showGridLines="0" rightToLeft="0" zoomScale="110"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1" t="inlineStr">
        <is>
          <t>InnovaForge Toolkit · 5.3</t>
        </is>
      </c>
    </row>
    <row r="2" ht="28" customHeight="1">
      <c r="A2" s="2" t="inlineStr">
        <is>
          <t>Retrospective</t>
        </is>
      </c>
    </row>
    <row r="3" ht="32" customHeight="1">
      <c r="A3" s="3" t="inlineStr">
        <is>
          <t>Two to four weeks after launch, with the whole team.</t>
        </is>
      </c>
    </row>
    <row r="5" ht="30" customHeight="1">
      <c r="A5" s="8" t="inlineStr">
        <is>
          <t>What worked</t>
        </is>
      </c>
      <c r="B5" s="8" t="inlineStr">
        <is>
          <t>What did not</t>
        </is>
      </c>
      <c r="C5" s="8" t="inlineStr">
        <is>
          <t>What we learned</t>
        </is>
      </c>
    </row>
    <row r="6" ht="200" customHeight="1">
      <c r="A6" s="10" t="n"/>
      <c r="B6" s="10" t="n"/>
      <c r="C6" s="10" t="n"/>
    </row>
    <row r="8" ht="20" customHeight="1">
      <c r="A8" s="6" t="inlineStr">
        <is>
          <t>Actions</t>
        </is>
      </c>
    </row>
    <row r="9" ht="30" customHeight="1">
      <c r="A9" s="8" t="inlineStr">
        <is>
          <t>Action</t>
        </is>
      </c>
      <c r="B9" s="8" t="inlineStr">
        <is>
          <t>Owner</t>
        </is>
      </c>
      <c r="C9" s="8" t="inlineStr">
        <is>
          <t>By when</t>
        </is>
      </c>
    </row>
    <row r="10" ht="26" customHeight="1">
      <c r="A10" s="10" t="n"/>
      <c r="B10" s="10" t="n"/>
      <c r="C10" s="10" t="n"/>
    </row>
    <row r="11" ht="26" customHeight="1">
      <c r="A11" s="10" t="n"/>
      <c r="B11" s="10" t="n"/>
      <c r="C11" s="10" t="n"/>
    </row>
    <row r="12" ht="26" customHeight="1">
      <c r="A12" s="10" t="n"/>
      <c r="B12" s="10" t="n"/>
      <c r="C12" s="10" t="n"/>
    </row>
    <row r="13" ht="26" customHeight="1">
      <c r="A13" s="10" t="n"/>
      <c r="B13" s="10" t="n"/>
      <c r="C13" s="10" t="n"/>
    </row>
    <row r="14" ht="26" customHeight="1">
      <c r="A14" s="10" t="n"/>
      <c r="B14" s="10" t="n"/>
      <c r="C14" s="10" t="n"/>
    </row>
    <row r="15" ht="26" customHeight="1">
      <c r="A15" s="10" t="n"/>
      <c r="B15" s="10" t="n"/>
      <c r="C15" s="10" t="n"/>
    </row>
    <row r="16" ht="26" customHeight="1">
      <c r="A16" s="10" t="n"/>
      <c r="B16" s="10" t="n"/>
      <c r="C16" s="10" t="n"/>
    </row>
    <row r="17" ht="26" customHeight="1">
      <c r="A17" s="10" t="n"/>
      <c r="B17" s="10" t="n"/>
      <c r="C17" s="10" t="n"/>
    </row>
  </sheetData>
  <mergeCells count="4">
    <mergeCell ref="A1:C1"/>
    <mergeCell ref="A8:C8"/>
    <mergeCell ref="A3:C3"/>
    <mergeCell ref="A2:C2"/>
  </mergeCells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B21"/>
  <sheetViews>
    <sheetView showGridLines="0" rightToLeft="0" zoomScale="110" workbookViewId="0">
      <selection activeCell="A1" sqref="A1"/>
    </sheetView>
  </sheetViews>
  <sheetFormatPr baseColWidth="8" defaultRowHeight="15"/>
  <cols>
    <col width="30" customWidth="1" min="1" max="1"/>
    <col width="76" customWidth="1" min="2" max="2"/>
  </cols>
  <sheetData>
    <row r="1">
      <c r="A1" s="1" t="inlineStr">
        <is>
          <t>InnovaForge Toolkit · 5.4</t>
        </is>
      </c>
    </row>
    <row r="2" ht="28" customHeight="1">
      <c r="A2" s="2" t="inlineStr">
        <is>
          <t>Decision</t>
        </is>
      </c>
    </row>
    <row r="3" ht="32" customHeight="1">
      <c r="A3" s="3" t="inlineStr">
        <is>
          <t>Decide on the data, then hand the next Ignite what this cycle found.</t>
        </is>
      </c>
    </row>
    <row r="5" ht="20" customHeight="1">
      <c r="A5" s="6" t="inlineStr">
        <is>
          <t>The decision</t>
        </is>
      </c>
    </row>
    <row r="6">
      <c r="A6" s="13" t="n"/>
      <c r="B6" s="25" t="inlineStr">
        <is>
          <t>Choose: iterate, scale or sunset</t>
        </is>
      </c>
    </row>
    <row r="8" ht="20" customHeight="1">
      <c r="A8" s="6" t="inlineStr">
        <is>
          <t>The evidence behind the decision</t>
        </is>
      </c>
    </row>
    <row r="9" ht="70" customHeight="1">
      <c r="A9" s="15" t="n"/>
      <c r="B9" s="16" t="n"/>
    </row>
    <row r="11" ht="20" customHeight="1">
      <c r="A11" s="6" t="inlineStr">
        <is>
          <t>What scaling, iterating or closing will need</t>
        </is>
      </c>
    </row>
    <row r="12" ht="50" customHeight="1">
      <c r="A12" s="15" t="n"/>
      <c r="B12" s="16" t="n"/>
    </row>
    <row r="14" ht="20" customHeight="1">
      <c r="A14" s="6" t="inlineStr">
        <is>
          <t>Seeds for the next Ignite: problems this cycle uncovered</t>
        </is>
      </c>
    </row>
    <row r="15" ht="50" customHeight="1">
      <c r="A15" s="15" t="n"/>
      <c r="B15" s="16" t="n"/>
    </row>
    <row r="17" ht="20" customHeight="1">
      <c r="A17" s="6" t="inlineStr">
        <is>
          <t>Ideas we parked</t>
        </is>
      </c>
    </row>
    <row r="18" ht="50" customHeight="1">
      <c r="A18" s="15" t="n"/>
      <c r="B18" s="16" t="n"/>
    </row>
    <row r="20" ht="20" customHeight="1">
      <c r="A20" s="6" t="inlineStr">
        <is>
          <t>What we will do differently</t>
        </is>
      </c>
    </row>
    <row r="21" ht="50" customHeight="1">
      <c r="A21" s="15" t="n"/>
      <c r="B21" s="16" t="n"/>
    </row>
  </sheetData>
  <mergeCells count="14">
    <mergeCell ref="A20:B20"/>
    <mergeCell ref="A21:B21"/>
    <mergeCell ref="A2:B2"/>
    <mergeCell ref="A15:B15"/>
    <mergeCell ref="A11:B11"/>
    <mergeCell ref="A5:B5"/>
    <mergeCell ref="A14:B14"/>
    <mergeCell ref="A1:B1"/>
    <mergeCell ref="A17:B17"/>
    <mergeCell ref="A9:B9"/>
    <mergeCell ref="A18:B18"/>
    <mergeCell ref="A8:B8"/>
    <mergeCell ref="A3:B3"/>
    <mergeCell ref="A12:B12"/>
  </mergeCells>
  <dataValidations count="1">
    <dataValidation sqref="A6" showDropDown="0" showInputMessage="0" showErrorMessage="0" allowBlank="1" type="list">
      <formula1>"Iterate,Scale,Sunset"</formula1>
    </dataValidation>
  </dataValidations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tabColor rgb="00F5A623"/>
    <outlinePr summaryBelow="1" summaryRight="1"/>
    <pageSetUpPr fitToPage="1"/>
  </sheetPr>
  <dimension ref="A1:C48"/>
  <sheetViews>
    <sheetView showGridLines="0" rightToLeft="0" zoomScale="110"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30" customWidth="1" min="3" max="3"/>
  </cols>
  <sheetData>
    <row r="1">
      <c r="A1" s="1" t="inlineStr">
        <is>
          <t>InnovaForge Toolkit · ✓</t>
        </is>
      </c>
    </row>
    <row r="2" ht="28" customHeight="1">
      <c r="A2" s="2" t="inlineStr">
        <is>
          <t>Gates</t>
        </is>
      </c>
    </row>
    <row r="3" ht="32" customHeight="1">
      <c r="A3" s="3" t="inlineStr">
        <is>
          <t>Close each stage only when every criterion is Yes.</t>
        </is>
      </c>
    </row>
    <row r="5" ht="20" customHeight="1">
      <c r="A5" s="6" t="inlineStr">
        <is>
          <t>Stage 1 · Ignite</t>
        </is>
      </c>
    </row>
    <row r="6" ht="30" customHeight="1">
      <c r="A6" s="8" t="inlineStr">
        <is>
          <t>Criterion</t>
        </is>
      </c>
      <c r="B6" s="8" t="inlineStr">
        <is>
          <t>Met?</t>
        </is>
      </c>
      <c r="C6" s="8" t="inlineStr">
        <is>
          <t>Evidence</t>
        </is>
      </c>
    </row>
    <row r="7" ht="30" customHeight="1">
      <c r="A7" s="14" t="inlineStr">
        <is>
          <t>We looked beneath the surface issue and wrote down a root cause, not a symptom.</t>
        </is>
      </c>
      <c r="B7" s="10" t="n"/>
      <c r="C7" s="10" t="n"/>
    </row>
    <row r="8" ht="30" customHeight="1">
      <c r="A8" s="14" t="inlineStr">
        <is>
          <t>Inspiration came from at least three kinds of source, one of them an unrelated field.</t>
        </is>
      </c>
      <c r="B8" s="10" t="n"/>
      <c r="C8" s="10" t="n"/>
    </row>
    <row r="9" ht="30" customHeight="1">
      <c r="A9" s="14" t="inlineStr">
        <is>
          <t>We brainstormed with judgment switched off, and kept every idea in the bank.</t>
        </is>
      </c>
      <c r="B9" s="10" t="n"/>
      <c r="C9" s="10" t="n"/>
    </row>
    <row r="10" ht="30" customHeight="1">
      <c r="A10" s="14" t="inlineStr">
        <is>
          <t>One to three problems or opportunities are ranked by priority.</t>
        </is>
      </c>
      <c r="B10" s="10" t="n"/>
      <c r="C10" s="10" t="n"/>
    </row>
    <row r="11" ht="30" customHeight="1">
      <c r="A11" s="14" t="inlineStr">
        <is>
          <t>The three Ignite boxes on the canvas are filled in.</t>
        </is>
      </c>
      <c r="B11" s="10" t="n"/>
      <c r="C11" s="10" t="n"/>
    </row>
    <row r="12">
      <c r="A12" s="12" t="inlineStr">
        <is>
          <t>Gate</t>
        </is>
      </c>
      <c r="B12" s="24">
        <f>IF(COUNTIF(B7:B11,"Yes")=5,"Closed: move on","Open "&amp;COUNTIF(B7:B11,"Yes")&amp;"/5")</f>
        <v/>
      </c>
    </row>
    <row r="14" ht="20" customHeight="1">
      <c r="A14" s="6" t="inlineStr">
        <is>
          <t>Stage 2 · Forge</t>
        </is>
      </c>
    </row>
    <row r="15" ht="30" customHeight="1">
      <c r="A15" s="8" t="inlineStr">
        <is>
          <t>Criterion</t>
        </is>
      </c>
      <c r="B15" s="8" t="inlineStr">
        <is>
          <t>Met?</t>
        </is>
      </c>
      <c r="C15" s="8" t="inlineStr">
        <is>
          <t>Evidence</t>
        </is>
      </c>
    </row>
    <row r="16" ht="30" customHeight="1">
      <c r="A16" s="14" t="inlineStr">
        <is>
          <t>The concept statement names its purpose, its audience and its features.</t>
        </is>
      </c>
      <c r="B16" s="10" t="n"/>
      <c r="C16" s="10" t="n"/>
    </row>
    <row r="17" ht="30" customHeight="1">
      <c r="A17" s="14" t="inlineStr">
        <is>
          <t>The value proposition fits in one sentence that someone outside the team understands.</t>
        </is>
      </c>
      <c r="B17" s="10" t="n"/>
      <c r="C17" s="10" t="n"/>
    </row>
    <row r="18" ht="30" customHeight="1">
      <c r="A18" s="14" t="inlineStr">
        <is>
          <t>The Lean Canvas is complete, and its riskiest boxes are marked.</t>
        </is>
      </c>
      <c r="B18" s="10" t="n"/>
      <c r="C18" s="10" t="n"/>
    </row>
    <row r="19" ht="30" customHeight="1">
      <c r="A19" s="14" t="inlineStr">
        <is>
          <t>A low-fidelity prototype exists: a sketch, a wireframe or a future press release.</t>
        </is>
      </c>
      <c r="B19" s="10" t="n"/>
      <c r="C19" s="10" t="n"/>
    </row>
    <row r="20" ht="30" customHeight="1">
      <c r="A20" s="14" t="inlineStr">
        <is>
          <t>The three Forge boxes on the canvas are filled in.</t>
        </is>
      </c>
      <c r="B20" s="10" t="n"/>
      <c r="C20" s="10" t="n"/>
    </row>
    <row r="21">
      <c r="A21" s="12" t="inlineStr">
        <is>
          <t>Gate</t>
        </is>
      </c>
      <c r="B21" s="24">
        <f>IF(COUNTIF(B16:B20,"Yes")=5,"Closed: move on","Open "&amp;COUNTIF(B16:B20,"Yes")&amp;"/5")</f>
        <v/>
      </c>
    </row>
    <row r="23" ht="20" customHeight="1">
      <c r="A23" s="6" t="inlineStr">
        <is>
          <t>Stage 3 · Temper</t>
        </is>
      </c>
    </row>
    <row r="24" ht="30" customHeight="1">
      <c r="A24" s="8" t="inlineStr">
        <is>
          <t>Criterion</t>
        </is>
      </c>
      <c r="B24" s="8" t="inlineStr">
        <is>
          <t>Met?</t>
        </is>
      </c>
      <c r="C24" s="8" t="inlineStr">
        <is>
          <t>Evidence</t>
        </is>
      </c>
    </row>
    <row r="25" ht="30" customHeight="1">
      <c r="A25" s="14" t="inlineStr">
        <is>
          <t>The riskiest assumptions were named before anything was built.</t>
        </is>
      </c>
      <c r="B25" s="10" t="n"/>
      <c r="C25" s="10" t="n"/>
    </row>
    <row r="26" ht="30" customHeight="1">
      <c r="A26" s="14" t="inlineStr">
        <is>
          <t>Each test had a success signal written down before it ran.</t>
        </is>
      </c>
      <c r="B26" s="10" t="n"/>
      <c r="C26" s="10" t="n"/>
    </row>
    <row r="27" ht="30" customHeight="1">
      <c r="A27" s="14" t="inlineStr">
        <is>
          <t>Five to ten real users took part in each cycle.</t>
        </is>
      </c>
      <c r="B27" s="10" t="n"/>
      <c r="C27" s="10" t="n"/>
    </row>
    <row r="28" ht="30" customHeight="1">
      <c r="A28" s="14" t="inlineStr">
        <is>
          <t>Every core assumption is marked validated or invalidated, with its evidence.</t>
        </is>
      </c>
      <c r="B28" s="10" t="n"/>
      <c r="C28" s="10" t="n"/>
    </row>
    <row r="29" ht="30" customHeight="1">
      <c r="A29" s="14" t="inlineStr">
        <is>
          <t>Learnings and pivots are recorded, and the three Temper boxes on the canvas are filled in.</t>
        </is>
      </c>
      <c r="B29" s="10" t="n"/>
      <c r="C29" s="10" t="n"/>
    </row>
    <row r="30">
      <c r="A30" s="12" t="inlineStr">
        <is>
          <t>Gate</t>
        </is>
      </c>
      <c r="B30" s="24">
        <f>IF(COUNTIF(B25:B29,"Yes")=5,"Closed: move on","Open "&amp;COUNTIF(B25:B29,"Yes")&amp;"/5")</f>
        <v/>
      </c>
    </row>
    <row r="32" ht="20" customHeight="1">
      <c r="A32" s="6" t="inlineStr">
        <is>
          <t>Stage 4 · Sculpt</t>
        </is>
      </c>
    </row>
    <row r="33" ht="30" customHeight="1">
      <c r="A33" s="8" t="inlineStr">
        <is>
          <t>Criterion</t>
        </is>
      </c>
      <c r="B33" s="8" t="inlineStr">
        <is>
          <t>Met?</t>
        </is>
      </c>
      <c r="C33" s="8" t="inlineStr">
        <is>
          <t>Evidence</t>
        </is>
      </c>
    </row>
    <row r="34" ht="30" customHeight="1">
      <c r="A34" s="14" t="inlineStr">
        <is>
          <t>The solution is tied to a line of the mission or strategy, in writing.</t>
        </is>
      </c>
      <c r="B34" s="10" t="n"/>
      <c r="C34" s="10" t="n"/>
    </row>
    <row r="35" ht="30" customHeight="1">
      <c r="A35" s="14" t="inlineStr">
        <is>
          <t>Each objective has measurable key results, with a baseline and a target.</t>
        </is>
      </c>
      <c r="B35" s="10" t="n"/>
      <c r="C35" s="10" t="n"/>
    </row>
    <row r="36" ht="30" customHeight="1">
      <c r="A36" s="14" t="inlineStr">
        <is>
          <t>The roadmap covers three to six months, broken into sprints and user stories.</t>
        </is>
      </c>
      <c r="B36" s="10" t="n"/>
      <c r="C36" s="10" t="n"/>
    </row>
    <row r="37" ht="30" customHeight="1">
      <c r="A37" s="14" t="inlineStr">
        <is>
          <t>Resources, budget and the top risks are on paper, each risk with an owner.</t>
        </is>
      </c>
      <c r="B37" s="10" t="n"/>
      <c r="C37" s="10" t="n"/>
    </row>
    <row r="38" ht="30" customHeight="1">
      <c r="A38" s="14" t="inlineStr">
        <is>
          <t>The team and the stakeholders have agreed the roadmap and its success metrics.</t>
        </is>
      </c>
      <c r="B38" s="10" t="n"/>
      <c r="C38" s="10" t="n"/>
    </row>
    <row r="39">
      <c r="A39" s="12" t="inlineStr">
        <is>
          <t>Gate</t>
        </is>
      </c>
      <c r="B39" s="24">
        <f>IF(COUNTIF(B34:B38,"Yes")=5,"Closed: move on","Open "&amp;COUNTIF(B34:B38,"Yes")&amp;"/5")</f>
        <v/>
      </c>
    </row>
    <row r="41" ht="20" customHeight="1">
      <c r="A41" s="6" t="inlineStr">
        <is>
          <t>Stage 5 · Polish</t>
        </is>
      </c>
    </row>
    <row r="42" ht="30" customHeight="1">
      <c r="A42" s="8" t="inlineStr">
        <is>
          <t>Criterion</t>
        </is>
      </c>
      <c r="B42" s="8" t="inlineStr">
        <is>
          <t>Met?</t>
        </is>
      </c>
      <c r="C42" s="8" t="inlineStr">
        <is>
          <t>Evidence</t>
        </is>
      </c>
    </row>
    <row r="43" ht="30" customHeight="1">
      <c r="A43" s="14" t="inlineStr">
        <is>
          <t>The launch followed its checklist, full or phased as planned.</t>
        </is>
      </c>
      <c r="B43" s="10" t="n"/>
      <c r="C43" s="10" t="n"/>
    </row>
    <row r="44" ht="30" customHeight="1">
      <c r="A44" s="14" t="inlineStr">
        <is>
          <t>The OKRs and KPIs set in Sculpt were tracked from day one.</t>
        </is>
      </c>
      <c r="B44" s="10" t="n"/>
      <c r="C44" s="10" t="n"/>
    </row>
    <row r="45" ht="30" customHeight="1">
      <c r="A45" s="14" t="inlineStr">
        <is>
          <t>A retrospective was held two to four weeks after launch.</t>
        </is>
      </c>
      <c r="B45" s="10" t="n"/>
      <c r="C45" s="10" t="n"/>
    </row>
    <row r="46" ht="30" customHeight="1">
      <c r="A46" s="14" t="inlineStr">
        <is>
          <t>A decision was taken on the data: iterate, scale or sunset.</t>
        </is>
      </c>
      <c r="B46" s="10" t="n"/>
      <c r="C46" s="10" t="n"/>
    </row>
    <row r="47" ht="30" customHeight="1">
      <c r="A47" s="14" t="inlineStr">
        <is>
          <t>The lessons are written into the next Ignite, and the cycle begins anew.</t>
        </is>
      </c>
      <c r="B47" s="10" t="n"/>
      <c r="C47" s="10" t="n"/>
    </row>
    <row r="48">
      <c r="A48" s="12" t="inlineStr">
        <is>
          <t>Gate</t>
        </is>
      </c>
      <c r="B48" s="24">
        <f>IF(COUNTIF(B43:B47,"Yes")=5,"Closed: move on","Open "&amp;COUNTIF(B43:B47,"Yes")&amp;"/5")</f>
        <v/>
      </c>
    </row>
  </sheetData>
  <mergeCells count="13">
    <mergeCell ref="B39:C39"/>
    <mergeCell ref="B21:C21"/>
    <mergeCell ref="B30:C30"/>
    <mergeCell ref="A41:C41"/>
    <mergeCell ref="B48:C48"/>
    <mergeCell ref="A1:C1"/>
    <mergeCell ref="A5:C5"/>
    <mergeCell ref="A23:C23"/>
    <mergeCell ref="A32:C32"/>
    <mergeCell ref="A14:C14"/>
    <mergeCell ref="A3:C3"/>
    <mergeCell ref="A2:C2"/>
    <mergeCell ref="B12:C12"/>
  </mergeCells>
  <dataValidations count="5">
    <dataValidation sqref="B7:B11" showDropDown="0" showInputMessage="0" showErrorMessage="0" allowBlank="1" type="list">
      <formula1>"Yes,Not yet"</formula1>
    </dataValidation>
    <dataValidation sqref="B16:B20" showDropDown="0" showInputMessage="0" showErrorMessage="0" allowBlank="1" type="list">
      <formula1>"Yes,Not yet"</formula1>
    </dataValidation>
    <dataValidation sqref="B25:B29" showDropDown="0" showInputMessage="0" showErrorMessage="0" allowBlank="1" type="list">
      <formula1>"Yes,Not yet"</formula1>
    </dataValidation>
    <dataValidation sqref="B34:B38" showDropDown="0" showInputMessage="0" showErrorMessage="0" allowBlank="1" type="list">
      <formula1>"Yes,Not yet"</formula1>
    </dataValidation>
    <dataValidation sqref="B43:B47" showDropDown="0" showInputMessage="0" showErrorMessage="0" allowBlank="1" type="list">
      <formula1>"Yes,Not yet"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Prof. Dr. Mohamed Fawzi Elgendi</dc:creator>
  <dc:title>InnovaForge Toolkit</dc:title>
  <dcterms:created xsi:type="dcterms:W3CDTF">2026-10-04T19:14:04Z</dcterms:created>
  <dcterms:modified xsi:type="dcterms:W3CDTF">2026-10-04T19:14:04Z</dcterms:modified>
</cp:coreProperties>
</file>